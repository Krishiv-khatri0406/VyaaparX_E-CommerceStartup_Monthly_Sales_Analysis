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10.xml" ContentType="application/vnd.openxmlformats-officedocument.spreadsheetml.pivotCacheRecords+xml"/>
  <Override PartName="/xl/pivotCache/pivotCacheDefinition11.xml" ContentType="application/vnd.openxmlformats-officedocument.spreadsheetml.pivotCacheDefinition+xml"/>
  <Override PartName="/xl/pivotCache/pivotCacheRecords1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tables/table6.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drawings/drawing1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1.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12.xml" ContentType="application/vnd.openxmlformats-officedocument.drawing+xml"/>
  <Override PartName="/xl/slicers/slicer3.xml" ContentType="application/vnd.ms-excel.slicer+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D:\E-commerce_Sales_project_VyaaparX\"/>
    </mc:Choice>
  </mc:AlternateContent>
  <xr:revisionPtr revIDLastSave="0" documentId="8_{77B66043-5D84-4E1B-93F6-4551CC302331}" xr6:coauthVersionLast="47" xr6:coauthVersionMax="47" xr10:uidLastSave="{00000000-0000-0000-0000-000000000000}"/>
  <bookViews>
    <workbookView xWindow="-110" yWindow="-110" windowWidth="19420" windowHeight="10420" tabRatio="540" xr2:uid="{0306BCA2-CF91-46EA-9D95-04573F7A9B87}"/>
  </bookViews>
  <sheets>
    <sheet name="Orders" sheetId="1" r:id="rId1"/>
    <sheet name="Customers" sheetId="2" r:id="rId2"/>
    <sheet name="monetary analysis " sheetId="4" r:id="rId3"/>
    <sheet name="methods of payment" sheetId="5" r:id="rId4"/>
    <sheet name="operational analysis of firm" sheetId="23" r:id="rId5"/>
    <sheet name="analysis of net sales" sheetId="27" r:id="rId6"/>
    <sheet name="Type of orders" sheetId="28" r:id="rId7"/>
    <sheet name="Orders analysis" sheetId="32" r:id="rId8"/>
    <sheet name="Logistical Analysis of orders" sheetId="33" r:id="rId9"/>
    <sheet name="Share of each type of customer" sheetId="6" r:id="rId10"/>
    <sheet name="Number of orders per state" sheetId="9" r:id="rId11"/>
    <sheet name="Share of each age group" sheetId="11" r:id="rId12"/>
    <sheet name="Share of each type of Product" sheetId="12" r:id="rId13"/>
    <sheet name="Dashboard for ecommerce firm" sheetId="31" r:id="rId14"/>
  </sheets>
  <definedNames>
    <definedName name="Slicer_Order_Cateogry">#N/A</definedName>
    <definedName name="Slicer_Order_status">#N/A</definedName>
    <definedName name="Slicer_Order_status1">#N/A</definedName>
    <definedName name="Slicer_Payment_Mode">#N/A</definedName>
    <definedName name="Slicer_Type_Of_Products">#N/A</definedName>
    <definedName name="Slicer_Type_Of_Products1">#N/A</definedName>
    <definedName name="Slicer_Type_Of_Products2">#N/A</definedName>
    <definedName name="Slicer_Type_Of_Products3">#N/A</definedName>
  </definedNames>
  <calcPr calcId="191029"/>
  <pivotCaches>
    <pivotCache cacheId="0" r:id="rId15"/>
    <pivotCache cacheId="1" r:id="rId16"/>
    <pivotCache cacheId="2" r:id="rId17"/>
    <pivotCache cacheId="3" r:id="rId18"/>
    <pivotCache cacheId="4" r:id="rId19"/>
    <pivotCache cacheId="5" r:id="rId20"/>
    <pivotCache cacheId="6" r:id="rId21"/>
    <pivotCache cacheId="7" r:id="rId22"/>
    <pivotCache cacheId="8" r:id="rId23"/>
    <pivotCache cacheId="9" r:id="rId24"/>
    <pivotCache cacheId="10" r:id="rId25"/>
  </pivotCaches>
  <extLst>
    <ext xmlns:x14="http://schemas.microsoft.com/office/spreadsheetml/2009/9/main" uri="{BBE1A952-AA13-448e-AADC-164F8A28A991}">
      <x14:slicerCaches>
        <x14:slicerCache r:id="rId26"/>
        <x14:slicerCache r:id="rId27"/>
        <x14:slicerCache r:id="rId28"/>
        <x14:slicerCache r:id="rId29"/>
        <x14:slicerCache r:id="rId30"/>
        <x14:slicerCache r:id="rId31"/>
        <x14:slicerCache r:id="rId32"/>
        <x14:slicerCache r:id="rId3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8" i="27" l="1"/>
  <c r="F204" i="1"/>
  <c r="D237" i="1"/>
  <c r="D241" i="1"/>
  <c r="E204" i="1"/>
  <c r="G206" i="2"/>
  <c r="A207" i="1"/>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12" i="1"/>
  <c r="F212" i="1"/>
  <c r="G212" i="1"/>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5" i="1" a="1"/>
  <c r="M6" i="1" a="1"/>
  <c r="M7" i="1" a="1"/>
  <c r="M8" i="1" a="1"/>
  <c r="M9" i="1" a="1"/>
  <c r="M10" i="1" a="1"/>
  <c r="M11" i="1" a="1"/>
  <c r="M12" i="1" a="1"/>
  <c r="M13" i="1" a="1"/>
  <c r="M14" i="1" a="1"/>
  <c r="M15" i="1" a="1"/>
  <c r="M16" i="1" a="1"/>
  <c r="M17" i="1" a="1"/>
  <c r="M18" i="1" a="1"/>
  <c r="M19" i="1" a="1"/>
  <c r="M20" i="1" a="1"/>
  <c r="M21" i="1" a="1"/>
  <c r="M22" i="1" a="1"/>
  <c r="M23" i="1" a="1"/>
  <c r="M24" i="1" a="1"/>
  <c r="M25" i="1" a="1"/>
  <c r="M26" i="1" a="1"/>
  <c r="M27" i="1" a="1"/>
  <c r="M28" i="1" a="1"/>
  <c r="M29" i="1" a="1"/>
  <c r="M30" i="1" a="1"/>
  <c r="M31" i="1" a="1"/>
  <c r="M32" i="1" a="1"/>
  <c r="M33" i="1" a="1"/>
  <c r="M34" i="1" a="1"/>
  <c r="M35" i="1" a="1"/>
  <c r="M36" i="1" a="1"/>
  <c r="M37" i="1" a="1"/>
  <c r="M38" i="1" a="1"/>
  <c r="M39" i="1" a="1"/>
  <c r="M40" i="1" a="1"/>
  <c r="M41" i="1" a="1"/>
  <c r="M42" i="1" a="1"/>
  <c r="M43" i="1" a="1"/>
  <c r="M44" i="1" a="1"/>
  <c r="M45" i="1" a="1"/>
  <c r="M46" i="1" a="1"/>
  <c r="M47" i="1" a="1"/>
  <c r="M48" i="1" a="1"/>
  <c r="M49" i="1" a="1"/>
  <c r="M50" i="1" a="1"/>
  <c r="M51" i="1" a="1"/>
  <c r="M52" i="1" a="1"/>
  <c r="M53" i="1" a="1"/>
  <c r="M54" i="1" a="1"/>
  <c r="M55" i="1" a="1"/>
  <c r="M56" i="1" a="1"/>
  <c r="M57" i="1" a="1"/>
  <c r="M58" i="1" a="1"/>
  <c r="M59" i="1" a="1"/>
  <c r="M60" i="1" a="1"/>
  <c r="M61" i="1" a="1"/>
  <c r="M62" i="1" a="1"/>
  <c r="M63" i="1" a="1"/>
  <c r="M64" i="1" a="1"/>
  <c r="M65" i="1" a="1"/>
  <c r="M66" i="1" a="1"/>
  <c r="M67" i="1" a="1"/>
  <c r="M68" i="1" a="1"/>
  <c r="M69" i="1" a="1"/>
  <c r="M70" i="1" a="1"/>
  <c r="M71" i="1" a="1"/>
  <c r="M72" i="1" a="1"/>
  <c r="M73" i="1" a="1"/>
  <c r="M74" i="1" a="1"/>
  <c r="M75" i="1" a="1"/>
  <c r="M76" i="1" a="1"/>
  <c r="M77" i="1" a="1"/>
  <c r="M78" i="1" a="1"/>
  <c r="M79" i="1" a="1"/>
  <c r="M80" i="1" a="1"/>
  <c r="M81" i="1" a="1"/>
  <c r="M82" i="1" a="1"/>
  <c r="M83" i="1" a="1"/>
  <c r="M84" i="1" a="1"/>
  <c r="M85" i="1" a="1"/>
  <c r="M86" i="1" a="1"/>
  <c r="M87" i="1" a="1"/>
  <c r="M88" i="1" a="1"/>
  <c r="M89" i="1" a="1"/>
  <c r="M90" i="1" a="1"/>
  <c r="M91" i="1" a="1"/>
  <c r="M92" i="1" a="1"/>
  <c r="M93" i="1" a="1"/>
  <c r="M94" i="1" a="1"/>
  <c r="M95" i="1" a="1"/>
  <c r="M96" i="1" a="1"/>
  <c r="M97" i="1" a="1"/>
  <c r="M98" i="1" a="1"/>
  <c r="M99" i="1" a="1"/>
  <c r="M100" i="1" a="1"/>
  <c r="M101" i="1" a="1"/>
  <c r="M102" i="1" a="1"/>
  <c r="M103" i="1" a="1"/>
  <c r="M104" i="1" a="1"/>
  <c r="M105" i="1" a="1"/>
  <c r="M106" i="1" a="1"/>
  <c r="M107" i="1" a="1"/>
  <c r="M108" i="1" a="1"/>
  <c r="M109" i="1" a="1"/>
  <c r="M110" i="1" a="1"/>
  <c r="M111" i="1" a="1"/>
  <c r="M112" i="1" a="1"/>
  <c r="M113" i="1" a="1"/>
  <c r="M114" i="1" a="1"/>
  <c r="M115" i="1" a="1"/>
  <c r="M116" i="1" a="1"/>
  <c r="M117" i="1" a="1"/>
  <c r="M118" i="1" a="1"/>
  <c r="M119" i="1" a="1"/>
  <c r="M120" i="1" a="1"/>
  <c r="M121" i="1" a="1"/>
  <c r="M122" i="1" a="1"/>
  <c r="M123" i="1" a="1"/>
  <c r="M124" i="1" a="1"/>
  <c r="M125" i="1" a="1"/>
  <c r="M126" i="1" a="1"/>
  <c r="M127" i="1" a="1"/>
  <c r="M128" i="1" a="1"/>
  <c r="M129" i="1" a="1"/>
  <c r="M130" i="1" a="1"/>
  <c r="M131" i="1" a="1"/>
  <c r="M132" i="1" a="1"/>
  <c r="M133" i="1" a="1"/>
  <c r="M134" i="1" a="1"/>
  <c r="M135" i="1" a="1"/>
  <c r="M136" i="1" a="1"/>
  <c r="M137" i="1" a="1"/>
  <c r="M138" i="1" a="1"/>
  <c r="M139" i="1" a="1"/>
  <c r="M140" i="1" a="1"/>
  <c r="M141" i="1" a="1"/>
  <c r="M142" i="1" a="1"/>
  <c r="M143" i="1" a="1"/>
  <c r="M144" i="1" a="1"/>
  <c r="M145" i="1" a="1"/>
  <c r="M146" i="1" a="1"/>
  <c r="M147" i="1" a="1"/>
  <c r="M148" i="1" a="1"/>
  <c r="M149" i="1" a="1"/>
  <c r="M150" i="1" a="1"/>
  <c r="M151" i="1" a="1"/>
  <c r="M152" i="1" a="1"/>
  <c r="M153" i="1" a="1"/>
  <c r="M154" i="1" a="1"/>
  <c r="M155" i="1" a="1"/>
  <c r="M156" i="1" a="1"/>
  <c r="M157" i="1" a="1"/>
  <c r="M158" i="1" a="1"/>
  <c r="M159" i="1" a="1"/>
  <c r="M160" i="1" a="1"/>
  <c r="M161" i="1" a="1"/>
  <c r="M162" i="1" a="1"/>
  <c r="M163" i="1" a="1"/>
  <c r="M164" i="1" a="1"/>
  <c r="M165" i="1" a="1"/>
  <c r="M166" i="1" a="1"/>
  <c r="M167" i="1" a="1"/>
  <c r="M168" i="1" a="1"/>
  <c r="M169" i="1" a="1"/>
  <c r="M170" i="1" a="1"/>
  <c r="M171" i="1" a="1"/>
  <c r="M172" i="1" a="1"/>
  <c r="M173" i="1" a="1"/>
  <c r="M174" i="1" a="1"/>
  <c r="M175" i="1" a="1"/>
  <c r="M176" i="1" a="1"/>
  <c r="M177" i="1" a="1"/>
  <c r="M178" i="1" a="1"/>
  <c r="M179" i="1" a="1"/>
  <c r="M180" i="1" a="1"/>
  <c r="M181" i="1" a="1"/>
  <c r="M182" i="1" a="1"/>
  <c r="M183" i="1" a="1"/>
  <c r="M184" i="1" a="1"/>
  <c r="M185" i="1" a="1"/>
  <c r="M186" i="1" a="1"/>
  <c r="M187" i="1" a="1"/>
  <c r="M188" i="1" a="1"/>
  <c r="M189" i="1" a="1"/>
  <c r="M190" i="1" a="1"/>
  <c r="M191" i="1" a="1"/>
  <c r="M192" i="1" a="1"/>
  <c r="M193" i="1" a="1"/>
  <c r="M194" i="1" a="1"/>
  <c r="M195" i="1" a="1"/>
  <c r="M196" i="1" a="1"/>
  <c r="M197" i="1" a="1"/>
  <c r="M198" i="1" a="1"/>
  <c r="M199" i="1" a="1"/>
  <c r="M200" i="1" a="1"/>
  <c r="M201" i="1" a="1"/>
  <c r="M202" i="1" a="1"/>
  <c r="M203" i="1" a="1"/>
  <c r="M4" i="1" a="1"/>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5" i="2"/>
  <c r="M6" i="2"/>
  <c r="M7" i="2"/>
  <c r="M8" i="2"/>
  <c r="M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5" i="2"/>
  <c r="E206" i="2" s="1"/>
  <c r="P212" i="1"/>
  <c r="N212" i="1"/>
  <c r="K212" i="1"/>
  <c r="J212" i="1"/>
  <c r="I212" i="1"/>
  <c r="H212" i="1"/>
  <c r="G4" i="1"/>
  <c r="J4" i="1" s="1"/>
  <c r="G5" i="1"/>
  <c r="J5" i="1" s="1"/>
  <c r="G6" i="1"/>
  <c r="J6" i="1" s="1"/>
  <c r="G7" i="1"/>
  <c r="J7" i="1" s="1"/>
  <c r="G8" i="1"/>
  <c r="J8" i="1" s="1"/>
  <c r="G9" i="1"/>
  <c r="J9" i="1" s="1"/>
  <c r="G10" i="1"/>
  <c r="J10" i="1" s="1"/>
  <c r="G11" i="1"/>
  <c r="J11" i="1" s="1"/>
  <c r="G12" i="1"/>
  <c r="J12" i="1" s="1"/>
  <c r="G13" i="1"/>
  <c r="J13" i="1" s="1"/>
  <c r="G14" i="1"/>
  <c r="J14" i="1" s="1"/>
  <c r="G15" i="1"/>
  <c r="J15" i="1" s="1"/>
  <c r="G16" i="1"/>
  <c r="J16" i="1" s="1"/>
  <c r="G17" i="1"/>
  <c r="J17" i="1" s="1"/>
  <c r="G18" i="1"/>
  <c r="J18" i="1" s="1"/>
  <c r="G19" i="1"/>
  <c r="J19" i="1" s="1"/>
  <c r="G20" i="1"/>
  <c r="J20" i="1" s="1"/>
  <c r="G21" i="1"/>
  <c r="J21" i="1" s="1"/>
  <c r="G22" i="1"/>
  <c r="J22" i="1" s="1"/>
  <c r="G23" i="1"/>
  <c r="J23" i="1" s="1"/>
  <c r="G24" i="1"/>
  <c r="J24" i="1" s="1"/>
  <c r="G25" i="1"/>
  <c r="J25" i="1" s="1"/>
  <c r="G26" i="1"/>
  <c r="J26" i="1" s="1"/>
  <c r="G27" i="1"/>
  <c r="J27" i="1" s="1"/>
  <c r="G28" i="1"/>
  <c r="J28" i="1" s="1"/>
  <c r="G29" i="1"/>
  <c r="J29" i="1" s="1"/>
  <c r="G30" i="1"/>
  <c r="J30" i="1" s="1"/>
  <c r="G31" i="1"/>
  <c r="J31" i="1" s="1"/>
  <c r="G32" i="1"/>
  <c r="J32" i="1" s="1"/>
  <c r="G33" i="1"/>
  <c r="J33" i="1" s="1"/>
  <c r="G34" i="1"/>
  <c r="J34" i="1" s="1"/>
  <c r="G35" i="1"/>
  <c r="J35" i="1" s="1"/>
  <c r="G36" i="1"/>
  <c r="J36" i="1" s="1"/>
  <c r="G37" i="1"/>
  <c r="J37" i="1" s="1"/>
  <c r="G38" i="1"/>
  <c r="J38" i="1" s="1"/>
  <c r="G39" i="1"/>
  <c r="J39" i="1" s="1"/>
  <c r="G40" i="1"/>
  <c r="J40" i="1" s="1"/>
  <c r="G41" i="1"/>
  <c r="J41" i="1" s="1"/>
  <c r="G42" i="1"/>
  <c r="J42" i="1" s="1"/>
  <c r="G43" i="1"/>
  <c r="J43" i="1" s="1"/>
  <c r="G44" i="1"/>
  <c r="J44" i="1" s="1"/>
  <c r="G45" i="1"/>
  <c r="J45" i="1" s="1"/>
  <c r="G46" i="1"/>
  <c r="J46" i="1" s="1"/>
  <c r="G47" i="1"/>
  <c r="J47" i="1" s="1"/>
  <c r="G48" i="1"/>
  <c r="J48" i="1" s="1"/>
  <c r="G49" i="1"/>
  <c r="J49" i="1" s="1"/>
  <c r="G50" i="1"/>
  <c r="J50" i="1" s="1"/>
  <c r="G51" i="1"/>
  <c r="J51" i="1" s="1"/>
  <c r="G52" i="1"/>
  <c r="J52" i="1" s="1"/>
  <c r="G53" i="1"/>
  <c r="J53" i="1" s="1"/>
  <c r="G54" i="1"/>
  <c r="J54" i="1" s="1"/>
  <c r="G55" i="1"/>
  <c r="J55" i="1" s="1"/>
  <c r="G56" i="1"/>
  <c r="J56" i="1" s="1"/>
  <c r="G57" i="1"/>
  <c r="J57" i="1" s="1"/>
  <c r="G58" i="1"/>
  <c r="J58" i="1" s="1"/>
  <c r="G59" i="1"/>
  <c r="J59" i="1" s="1"/>
  <c r="G60" i="1"/>
  <c r="J60" i="1" s="1"/>
  <c r="G61" i="1"/>
  <c r="J61" i="1" s="1"/>
  <c r="G62" i="1"/>
  <c r="J62" i="1" s="1"/>
  <c r="G63" i="1"/>
  <c r="J63" i="1" s="1"/>
  <c r="G64" i="1"/>
  <c r="J64" i="1" s="1"/>
  <c r="G65" i="1"/>
  <c r="J65" i="1" s="1"/>
  <c r="G66" i="1"/>
  <c r="J66" i="1" s="1"/>
  <c r="G67" i="1"/>
  <c r="J67" i="1" s="1"/>
  <c r="G68" i="1"/>
  <c r="J68" i="1" s="1"/>
  <c r="G69" i="1"/>
  <c r="J69" i="1" s="1"/>
  <c r="G70" i="1"/>
  <c r="J70" i="1" s="1"/>
  <c r="G71" i="1"/>
  <c r="J71" i="1" s="1"/>
  <c r="G72" i="1"/>
  <c r="J72" i="1" s="1"/>
  <c r="G73" i="1"/>
  <c r="J73" i="1" s="1"/>
  <c r="G74" i="1"/>
  <c r="J74" i="1" s="1"/>
  <c r="G75" i="1"/>
  <c r="J75" i="1" s="1"/>
  <c r="G76" i="1"/>
  <c r="J76" i="1" s="1"/>
  <c r="G77" i="1"/>
  <c r="J77" i="1" s="1"/>
  <c r="G78" i="1"/>
  <c r="J78" i="1" s="1"/>
  <c r="G79" i="1"/>
  <c r="J79" i="1" s="1"/>
  <c r="G80" i="1"/>
  <c r="J80" i="1" s="1"/>
  <c r="G81" i="1"/>
  <c r="J81" i="1" s="1"/>
  <c r="G82" i="1"/>
  <c r="J82" i="1" s="1"/>
  <c r="G83" i="1"/>
  <c r="J83" i="1" s="1"/>
  <c r="G84" i="1"/>
  <c r="J84" i="1" s="1"/>
  <c r="G85" i="1"/>
  <c r="J85" i="1" s="1"/>
  <c r="G86" i="1"/>
  <c r="J86" i="1" s="1"/>
  <c r="G87" i="1"/>
  <c r="J87" i="1" s="1"/>
  <c r="G88" i="1"/>
  <c r="J88" i="1" s="1"/>
  <c r="G89" i="1"/>
  <c r="J89" i="1" s="1"/>
  <c r="G90" i="1"/>
  <c r="J90" i="1" s="1"/>
  <c r="G91" i="1"/>
  <c r="J91" i="1" s="1"/>
  <c r="G92" i="1"/>
  <c r="J92" i="1" s="1"/>
  <c r="G93" i="1"/>
  <c r="J93" i="1" s="1"/>
  <c r="G94" i="1"/>
  <c r="J94" i="1" s="1"/>
  <c r="G95" i="1"/>
  <c r="J95" i="1" s="1"/>
  <c r="G96" i="1"/>
  <c r="J96" i="1" s="1"/>
  <c r="G97" i="1"/>
  <c r="J97" i="1" s="1"/>
  <c r="G98" i="1"/>
  <c r="J98" i="1" s="1"/>
  <c r="G99" i="1"/>
  <c r="J99" i="1" s="1"/>
  <c r="G100" i="1"/>
  <c r="J100" i="1" s="1"/>
  <c r="G101" i="1"/>
  <c r="J101" i="1" s="1"/>
  <c r="G102" i="1"/>
  <c r="J102" i="1" s="1"/>
  <c r="G103" i="1"/>
  <c r="J103" i="1" s="1"/>
  <c r="G104" i="1"/>
  <c r="J104" i="1" s="1"/>
  <c r="G105" i="1"/>
  <c r="J105" i="1" s="1"/>
  <c r="G106" i="1"/>
  <c r="J106" i="1" s="1"/>
  <c r="G107" i="1"/>
  <c r="J107" i="1" s="1"/>
  <c r="G108" i="1"/>
  <c r="J108" i="1" s="1"/>
  <c r="G109" i="1"/>
  <c r="J109" i="1" s="1"/>
  <c r="G110" i="1"/>
  <c r="J110" i="1" s="1"/>
  <c r="G111" i="1"/>
  <c r="J111" i="1" s="1"/>
  <c r="G112" i="1"/>
  <c r="J112" i="1" s="1"/>
  <c r="G113" i="1"/>
  <c r="J113" i="1" s="1"/>
  <c r="G114" i="1"/>
  <c r="J114" i="1" s="1"/>
  <c r="G115" i="1"/>
  <c r="J115" i="1" s="1"/>
  <c r="G116" i="1"/>
  <c r="J116" i="1" s="1"/>
  <c r="G117" i="1"/>
  <c r="J117" i="1" s="1"/>
  <c r="G118" i="1"/>
  <c r="J118" i="1" s="1"/>
  <c r="G119" i="1"/>
  <c r="J119" i="1" s="1"/>
  <c r="G120" i="1"/>
  <c r="J120" i="1" s="1"/>
  <c r="G121" i="1"/>
  <c r="J121" i="1" s="1"/>
  <c r="G122" i="1"/>
  <c r="J122" i="1" s="1"/>
  <c r="G123" i="1"/>
  <c r="J123" i="1" s="1"/>
  <c r="G124" i="1"/>
  <c r="J124" i="1" s="1"/>
  <c r="G125" i="1"/>
  <c r="J125" i="1" s="1"/>
  <c r="G126" i="1"/>
  <c r="J126" i="1" s="1"/>
  <c r="G127" i="1"/>
  <c r="J127" i="1" s="1"/>
  <c r="G128" i="1"/>
  <c r="J128" i="1" s="1"/>
  <c r="G129" i="1"/>
  <c r="J129" i="1" s="1"/>
  <c r="G130" i="1"/>
  <c r="J130" i="1" s="1"/>
  <c r="G131" i="1"/>
  <c r="J131" i="1" s="1"/>
  <c r="G132" i="1"/>
  <c r="J132" i="1" s="1"/>
  <c r="G133" i="1"/>
  <c r="J133" i="1" s="1"/>
  <c r="G134" i="1"/>
  <c r="J134" i="1" s="1"/>
  <c r="G135" i="1"/>
  <c r="J135" i="1" s="1"/>
  <c r="G136" i="1"/>
  <c r="J136" i="1" s="1"/>
  <c r="G137" i="1"/>
  <c r="J137" i="1" s="1"/>
  <c r="G138" i="1"/>
  <c r="J138" i="1" s="1"/>
  <c r="G139" i="1"/>
  <c r="J139" i="1" s="1"/>
  <c r="G140" i="1"/>
  <c r="J140" i="1" s="1"/>
  <c r="G141" i="1"/>
  <c r="J141" i="1" s="1"/>
  <c r="G142" i="1"/>
  <c r="J142" i="1" s="1"/>
  <c r="G143" i="1"/>
  <c r="J143" i="1" s="1"/>
  <c r="G144" i="1"/>
  <c r="J144" i="1" s="1"/>
  <c r="G145" i="1"/>
  <c r="J145" i="1" s="1"/>
  <c r="G146" i="1"/>
  <c r="J146" i="1" s="1"/>
  <c r="G147" i="1"/>
  <c r="J147" i="1" s="1"/>
  <c r="G148" i="1"/>
  <c r="J148" i="1" s="1"/>
  <c r="G149" i="1"/>
  <c r="J149" i="1" s="1"/>
  <c r="G150" i="1"/>
  <c r="J150" i="1" s="1"/>
  <c r="G151" i="1"/>
  <c r="J151" i="1" s="1"/>
  <c r="G152" i="1"/>
  <c r="J152" i="1" s="1"/>
  <c r="G153" i="1"/>
  <c r="J153" i="1" s="1"/>
  <c r="G154" i="1"/>
  <c r="J154" i="1" s="1"/>
  <c r="G155" i="1"/>
  <c r="J155" i="1" s="1"/>
  <c r="G156" i="1"/>
  <c r="J156" i="1" s="1"/>
  <c r="G157" i="1"/>
  <c r="J157" i="1" s="1"/>
  <c r="G158" i="1"/>
  <c r="J158" i="1" s="1"/>
  <c r="G159" i="1"/>
  <c r="J159" i="1" s="1"/>
  <c r="G160" i="1"/>
  <c r="J160" i="1" s="1"/>
  <c r="G161" i="1"/>
  <c r="J161" i="1" s="1"/>
  <c r="G162" i="1"/>
  <c r="J162" i="1" s="1"/>
  <c r="G163" i="1"/>
  <c r="J163" i="1" s="1"/>
  <c r="G164" i="1"/>
  <c r="J164" i="1" s="1"/>
  <c r="G165" i="1"/>
  <c r="J165" i="1" s="1"/>
  <c r="G166" i="1"/>
  <c r="J166" i="1" s="1"/>
  <c r="G167" i="1"/>
  <c r="J167" i="1" s="1"/>
  <c r="G168" i="1"/>
  <c r="J168" i="1" s="1"/>
  <c r="G169" i="1"/>
  <c r="J169" i="1" s="1"/>
  <c r="G170" i="1"/>
  <c r="J170" i="1" s="1"/>
  <c r="G171" i="1"/>
  <c r="J171" i="1" s="1"/>
  <c r="G172" i="1"/>
  <c r="J172" i="1" s="1"/>
  <c r="G173" i="1"/>
  <c r="J173" i="1" s="1"/>
  <c r="G174" i="1"/>
  <c r="J174" i="1" s="1"/>
  <c r="G175" i="1"/>
  <c r="J175" i="1" s="1"/>
  <c r="G176" i="1"/>
  <c r="J176" i="1" s="1"/>
  <c r="G177" i="1"/>
  <c r="J177" i="1" s="1"/>
  <c r="G178" i="1"/>
  <c r="J178" i="1" s="1"/>
  <c r="G179" i="1"/>
  <c r="J179" i="1" s="1"/>
  <c r="G180" i="1"/>
  <c r="J180" i="1" s="1"/>
  <c r="G181" i="1"/>
  <c r="J181" i="1" s="1"/>
  <c r="G182" i="1"/>
  <c r="J182" i="1" s="1"/>
  <c r="G183" i="1"/>
  <c r="J183" i="1" s="1"/>
  <c r="G184" i="1"/>
  <c r="J184" i="1" s="1"/>
  <c r="G185" i="1"/>
  <c r="J185" i="1" s="1"/>
  <c r="G186" i="1"/>
  <c r="J186" i="1" s="1"/>
  <c r="G187" i="1"/>
  <c r="J187" i="1" s="1"/>
  <c r="G188" i="1"/>
  <c r="J188" i="1" s="1"/>
  <c r="G189" i="1"/>
  <c r="J189" i="1" s="1"/>
  <c r="G190" i="1"/>
  <c r="J190" i="1" s="1"/>
  <c r="G191" i="1"/>
  <c r="J191" i="1" s="1"/>
  <c r="G192" i="1"/>
  <c r="J192" i="1" s="1"/>
  <c r="G193" i="1"/>
  <c r="J193" i="1" s="1"/>
  <c r="G194" i="1"/>
  <c r="J194" i="1" s="1"/>
  <c r="G195" i="1"/>
  <c r="J195" i="1" s="1"/>
  <c r="G196" i="1"/>
  <c r="J196" i="1" s="1"/>
  <c r="G197" i="1"/>
  <c r="J197" i="1" s="1"/>
  <c r="G198" i="1"/>
  <c r="J198" i="1" s="1"/>
  <c r="G199" i="1"/>
  <c r="J199" i="1" s="1"/>
  <c r="G200" i="1"/>
  <c r="J200" i="1" s="1"/>
  <c r="G201" i="1"/>
  <c r="J201" i="1" s="1"/>
  <c r="G202" i="1"/>
  <c r="J202" i="1" s="1"/>
  <c r="G203" i="1"/>
  <c r="J203" i="1" s="1"/>
  <c r="D228" i="1" l="1"/>
  <c r="G204" i="1"/>
  <c r="H222" i="1"/>
  <c r="H221" i="1"/>
  <c r="H220" i="1"/>
  <c r="J204" i="1"/>
  <c r="H219" i="1"/>
  <c r="I5" i="1"/>
  <c r="K5" i="1" s="1"/>
  <c r="I6" i="1"/>
  <c r="K6" i="1" s="1"/>
  <c r="I7" i="1"/>
  <c r="K7" i="1" s="1"/>
  <c r="I8" i="1"/>
  <c r="K8" i="1" s="1"/>
  <c r="I9" i="1"/>
  <c r="K9" i="1" s="1"/>
  <c r="I10" i="1"/>
  <c r="K10" i="1" s="1"/>
  <c r="I11" i="1"/>
  <c r="K11" i="1" s="1"/>
  <c r="I12" i="1"/>
  <c r="K12" i="1" s="1"/>
  <c r="I13" i="1"/>
  <c r="K13" i="1" s="1"/>
  <c r="I14" i="1"/>
  <c r="K14" i="1" s="1"/>
  <c r="I15" i="1"/>
  <c r="K15" i="1" s="1"/>
  <c r="I16" i="1"/>
  <c r="K16" i="1" s="1"/>
  <c r="I17" i="1"/>
  <c r="K17" i="1" s="1"/>
  <c r="I18" i="1"/>
  <c r="K18" i="1" s="1"/>
  <c r="I19" i="1"/>
  <c r="K19" i="1" s="1"/>
  <c r="I20" i="1"/>
  <c r="K20" i="1" s="1"/>
  <c r="I21" i="1"/>
  <c r="K21" i="1" s="1"/>
  <c r="I22" i="1"/>
  <c r="K22" i="1" s="1"/>
  <c r="I23" i="1"/>
  <c r="K23" i="1" s="1"/>
  <c r="I24" i="1"/>
  <c r="K24" i="1" s="1"/>
  <c r="I25" i="1"/>
  <c r="K25" i="1" s="1"/>
  <c r="I26" i="1"/>
  <c r="K26" i="1" s="1"/>
  <c r="I27" i="1"/>
  <c r="K27" i="1" s="1"/>
  <c r="I28" i="1"/>
  <c r="K28" i="1" s="1"/>
  <c r="I29" i="1"/>
  <c r="K29" i="1" s="1"/>
  <c r="I30" i="1"/>
  <c r="K30" i="1" s="1"/>
  <c r="I31" i="1"/>
  <c r="K31" i="1" s="1"/>
  <c r="I32" i="1"/>
  <c r="K32" i="1" s="1"/>
  <c r="I33" i="1"/>
  <c r="K33" i="1" s="1"/>
  <c r="I34" i="1"/>
  <c r="K34" i="1" s="1"/>
  <c r="I35" i="1"/>
  <c r="K35" i="1" s="1"/>
  <c r="I36" i="1"/>
  <c r="K36" i="1" s="1"/>
  <c r="I37" i="1"/>
  <c r="K37" i="1" s="1"/>
  <c r="I38" i="1"/>
  <c r="K38" i="1" s="1"/>
  <c r="I39" i="1"/>
  <c r="K39" i="1" s="1"/>
  <c r="I40" i="1"/>
  <c r="K40" i="1" s="1"/>
  <c r="I41" i="1"/>
  <c r="K41" i="1" s="1"/>
  <c r="I42" i="1"/>
  <c r="K42" i="1" s="1"/>
  <c r="I43" i="1"/>
  <c r="K43" i="1" s="1"/>
  <c r="I44" i="1"/>
  <c r="K44" i="1" s="1"/>
  <c r="I45" i="1"/>
  <c r="K45" i="1" s="1"/>
  <c r="I46" i="1"/>
  <c r="K46" i="1" s="1"/>
  <c r="I47" i="1"/>
  <c r="K47" i="1" s="1"/>
  <c r="I48" i="1"/>
  <c r="K48" i="1" s="1"/>
  <c r="I49" i="1"/>
  <c r="K49" i="1" s="1"/>
  <c r="I50" i="1"/>
  <c r="K50" i="1" s="1"/>
  <c r="I51" i="1"/>
  <c r="K51" i="1" s="1"/>
  <c r="I52" i="1"/>
  <c r="K52" i="1" s="1"/>
  <c r="I53" i="1"/>
  <c r="K53" i="1" s="1"/>
  <c r="I54" i="1"/>
  <c r="K54" i="1" s="1"/>
  <c r="I55" i="1"/>
  <c r="K55" i="1" s="1"/>
  <c r="I56" i="1"/>
  <c r="K56" i="1" s="1"/>
  <c r="I57" i="1"/>
  <c r="K57" i="1" s="1"/>
  <c r="I58" i="1"/>
  <c r="K58" i="1" s="1"/>
  <c r="I59" i="1"/>
  <c r="K59" i="1" s="1"/>
  <c r="I60" i="1"/>
  <c r="K60" i="1" s="1"/>
  <c r="I61" i="1"/>
  <c r="K61" i="1" s="1"/>
  <c r="I62" i="1"/>
  <c r="K62" i="1" s="1"/>
  <c r="I63" i="1"/>
  <c r="K63" i="1" s="1"/>
  <c r="I64" i="1"/>
  <c r="K64" i="1" s="1"/>
  <c r="I65" i="1"/>
  <c r="K65" i="1" s="1"/>
  <c r="I66" i="1"/>
  <c r="K66" i="1" s="1"/>
  <c r="I67" i="1"/>
  <c r="K67" i="1" s="1"/>
  <c r="I68" i="1"/>
  <c r="K68" i="1" s="1"/>
  <c r="I69" i="1"/>
  <c r="K69" i="1" s="1"/>
  <c r="I70" i="1"/>
  <c r="K70" i="1" s="1"/>
  <c r="I71" i="1"/>
  <c r="K71" i="1" s="1"/>
  <c r="I72" i="1"/>
  <c r="K72" i="1" s="1"/>
  <c r="I73" i="1"/>
  <c r="K73" i="1" s="1"/>
  <c r="I74" i="1"/>
  <c r="K74" i="1" s="1"/>
  <c r="I75" i="1"/>
  <c r="K75" i="1" s="1"/>
  <c r="I76" i="1"/>
  <c r="K76" i="1" s="1"/>
  <c r="I77" i="1"/>
  <c r="K77" i="1" s="1"/>
  <c r="I78" i="1"/>
  <c r="K78" i="1" s="1"/>
  <c r="I79" i="1"/>
  <c r="K79" i="1" s="1"/>
  <c r="I80" i="1"/>
  <c r="K80" i="1" s="1"/>
  <c r="I81" i="1"/>
  <c r="K81" i="1" s="1"/>
  <c r="I82" i="1"/>
  <c r="K82" i="1" s="1"/>
  <c r="I83" i="1"/>
  <c r="K83" i="1" s="1"/>
  <c r="I84" i="1"/>
  <c r="K84" i="1" s="1"/>
  <c r="I85" i="1"/>
  <c r="K85" i="1" s="1"/>
  <c r="I86" i="1"/>
  <c r="K86" i="1" s="1"/>
  <c r="I87" i="1"/>
  <c r="K87" i="1" s="1"/>
  <c r="I88" i="1"/>
  <c r="K88" i="1" s="1"/>
  <c r="I89" i="1"/>
  <c r="K89" i="1" s="1"/>
  <c r="I90" i="1"/>
  <c r="K90" i="1" s="1"/>
  <c r="I91" i="1"/>
  <c r="K91" i="1" s="1"/>
  <c r="I92" i="1"/>
  <c r="K92" i="1" s="1"/>
  <c r="I93" i="1"/>
  <c r="K93" i="1" s="1"/>
  <c r="I94" i="1"/>
  <c r="K94" i="1" s="1"/>
  <c r="I95" i="1"/>
  <c r="K95" i="1" s="1"/>
  <c r="I96" i="1"/>
  <c r="K96" i="1" s="1"/>
  <c r="I97" i="1"/>
  <c r="K97" i="1" s="1"/>
  <c r="I98" i="1"/>
  <c r="K98" i="1" s="1"/>
  <c r="I99" i="1"/>
  <c r="K99" i="1" s="1"/>
  <c r="I100" i="1"/>
  <c r="K100" i="1" s="1"/>
  <c r="I101" i="1"/>
  <c r="K101" i="1" s="1"/>
  <c r="I102" i="1"/>
  <c r="K102" i="1" s="1"/>
  <c r="I103" i="1"/>
  <c r="K103" i="1" s="1"/>
  <c r="I104" i="1"/>
  <c r="K104" i="1" s="1"/>
  <c r="I105" i="1"/>
  <c r="K105" i="1" s="1"/>
  <c r="I106" i="1"/>
  <c r="K106" i="1" s="1"/>
  <c r="I107" i="1"/>
  <c r="K107" i="1" s="1"/>
  <c r="I108" i="1"/>
  <c r="K108" i="1" s="1"/>
  <c r="I109" i="1"/>
  <c r="K109" i="1" s="1"/>
  <c r="I110" i="1"/>
  <c r="K110" i="1" s="1"/>
  <c r="I111" i="1"/>
  <c r="K111" i="1" s="1"/>
  <c r="I112" i="1"/>
  <c r="K112" i="1" s="1"/>
  <c r="I113" i="1"/>
  <c r="K113" i="1" s="1"/>
  <c r="I114" i="1"/>
  <c r="K114" i="1" s="1"/>
  <c r="I115" i="1"/>
  <c r="K115" i="1" s="1"/>
  <c r="I116" i="1"/>
  <c r="K116" i="1" s="1"/>
  <c r="I117" i="1"/>
  <c r="K117" i="1" s="1"/>
  <c r="I118" i="1"/>
  <c r="K118" i="1" s="1"/>
  <c r="I119" i="1"/>
  <c r="K119" i="1" s="1"/>
  <c r="I120" i="1"/>
  <c r="K120" i="1" s="1"/>
  <c r="I121" i="1"/>
  <c r="K121" i="1" s="1"/>
  <c r="I122" i="1"/>
  <c r="K122" i="1" s="1"/>
  <c r="I123" i="1"/>
  <c r="K123" i="1" s="1"/>
  <c r="I124" i="1"/>
  <c r="K124" i="1" s="1"/>
  <c r="I125" i="1"/>
  <c r="K125" i="1" s="1"/>
  <c r="I126" i="1"/>
  <c r="K126" i="1" s="1"/>
  <c r="I127" i="1"/>
  <c r="K127" i="1" s="1"/>
  <c r="I128" i="1"/>
  <c r="K128" i="1" s="1"/>
  <c r="I129" i="1"/>
  <c r="K129" i="1" s="1"/>
  <c r="I130" i="1"/>
  <c r="K130" i="1" s="1"/>
  <c r="I131" i="1"/>
  <c r="K131" i="1" s="1"/>
  <c r="I132" i="1"/>
  <c r="K132" i="1" s="1"/>
  <c r="I133" i="1"/>
  <c r="K133" i="1" s="1"/>
  <c r="I134" i="1"/>
  <c r="K134" i="1" s="1"/>
  <c r="I135" i="1"/>
  <c r="K135" i="1" s="1"/>
  <c r="I136" i="1"/>
  <c r="K136" i="1" s="1"/>
  <c r="I137" i="1"/>
  <c r="K137" i="1" s="1"/>
  <c r="I138" i="1"/>
  <c r="K138" i="1" s="1"/>
  <c r="I139" i="1"/>
  <c r="K139" i="1" s="1"/>
  <c r="I140" i="1"/>
  <c r="K140" i="1" s="1"/>
  <c r="I141" i="1"/>
  <c r="K141" i="1" s="1"/>
  <c r="I142" i="1"/>
  <c r="K142" i="1" s="1"/>
  <c r="I143" i="1"/>
  <c r="K143" i="1" s="1"/>
  <c r="I144" i="1"/>
  <c r="K144" i="1" s="1"/>
  <c r="I145" i="1"/>
  <c r="K145" i="1" s="1"/>
  <c r="I146" i="1"/>
  <c r="K146" i="1" s="1"/>
  <c r="I147" i="1"/>
  <c r="K147" i="1" s="1"/>
  <c r="I148" i="1"/>
  <c r="K148" i="1" s="1"/>
  <c r="I149" i="1"/>
  <c r="K149" i="1" s="1"/>
  <c r="I150" i="1"/>
  <c r="K150" i="1" s="1"/>
  <c r="I151" i="1"/>
  <c r="K151" i="1" s="1"/>
  <c r="I152" i="1"/>
  <c r="K152" i="1" s="1"/>
  <c r="I153" i="1"/>
  <c r="K153" i="1" s="1"/>
  <c r="I154" i="1"/>
  <c r="K154" i="1" s="1"/>
  <c r="I155" i="1"/>
  <c r="K155" i="1" s="1"/>
  <c r="I156" i="1"/>
  <c r="K156" i="1" s="1"/>
  <c r="I157" i="1"/>
  <c r="K157" i="1" s="1"/>
  <c r="I158" i="1"/>
  <c r="K158" i="1" s="1"/>
  <c r="I159" i="1"/>
  <c r="K159" i="1" s="1"/>
  <c r="I160" i="1"/>
  <c r="K160" i="1" s="1"/>
  <c r="I161" i="1"/>
  <c r="K161" i="1" s="1"/>
  <c r="I162" i="1"/>
  <c r="K162" i="1" s="1"/>
  <c r="I163" i="1"/>
  <c r="K163" i="1" s="1"/>
  <c r="I164" i="1"/>
  <c r="K164" i="1" s="1"/>
  <c r="I165" i="1"/>
  <c r="K165" i="1" s="1"/>
  <c r="I166" i="1"/>
  <c r="K166" i="1" s="1"/>
  <c r="I167" i="1"/>
  <c r="K167" i="1" s="1"/>
  <c r="I168" i="1"/>
  <c r="K168" i="1" s="1"/>
  <c r="I169" i="1"/>
  <c r="K169" i="1" s="1"/>
  <c r="I170" i="1"/>
  <c r="K170" i="1" s="1"/>
  <c r="I171" i="1"/>
  <c r="K171" i="1" s="1"/>
  <c r="I172" i="1"/>
  <c r="K172" i="1" s="1"/>
  <c r="I173" i="1"/>
  <c r="K173" i="1" s="1"/>
  <c r="I174" i="1"/>
  <c r="K174" i="1" s="1"/>
  <c r="I175" i="1"/>
  <c r="K175" i="1" s="1"/>
  <c r="I176" i="1"/>
  <c r="K176" i="1" s="1"/>
  <c r="I177" i="1"/>
  <c r="K177" i="1" s="1"/>
  <c r="I178" i="1"/>
  <c r="K178" i="1" s="1"/>
  <c r="I179" i="1"/>
  <c r="K179" i="1" s="1"/>
  <c r="I180" i="1"/>
  <c r="K180" i="1" s="1"/>
  <c r="I181" i="1"/>
  <c r="K181" i="1" s="1"/>
  <c r="I182" i="1"/>
  <c r="K182" i="1" s="1"/>
  <c r="I183" i="1"/>
  <c r="K183" i="1" s="1"/>
  <c r="I184" i="1"/>
  <c r="K184" i="1" s="1"/>
  <c r="I185" i="1"/>
  <c r="K185" i="1" s="1"/>
  <c r="I186" i="1"/>
  <c r="K186" i="1" s="1"/>
  <c r="I187" i="1"/>
  <c r="K187" i="1" s="1"/>
  <c r="I188" i="1"/>
  <c r="K188" i="1" s="1"/>
  <c r="I189" i="1"/>
  <c r="K189" i="1" s="1"/>
  <c r="I190" i="1"/>
  <c r="K190" i="1" s="1"/>
  <c r="I191" i="1"/>
  <c r="K191" i="1" s="1"/>
  <c r="I192" i="1"/>
  <c r="K192" i="1" s="1"/>
  <c r="I193" i="1"/>
  <c r="K193" i="1" s="1"/>
  <c r="I194" i="1"/>
  <c r="K194" i="1" s="1"/>
  <c r="I195" i="1"/>
  <c r="K195" i="1" s="1"/>
  <c r="I196" i="1"/>
  <c r="K196" i="1" s="1"/>
  <c r="I197" i="1"/>
  <c r="K197" i="1" s="1"/>
  <c r="I198" i="1"/>
  <c r="K198" i="1" s="1"/>
  <c r="I199" i="1"/>
  <c r="K199" i="1" s="1"/>
  <c r="I200" i="1"/>
  <c r="K200" i="1" s="1"/>
  <c r="I201" i="1"/>
  <c r="K201" i="1" s="1"/>
  <c r="I202" i="1"/>
  <c r="K202" i="1" s="1"/>
  <c r="I203" i="1"/>
  <c r="K203" i="1" s="1"/>
  <c r="I4" i="1"/>
  <c r="K4" i="1" l="1"/>
  <c r="I204" i="1"/>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N5" i="1"/>
  <c r="L5" i="1"/>
  <c r="N6" i="1"/>
  <c r="L6" i="1"/>
  <c r="N7" i="1"/>
  <c r="L7" i="1"/>
  <c r="N8" i="1"/>
  <c r="L8" i="1"/>
  <c r="N9" i="1"/>
  <c r="L9" i="1"/>
  <c r="N10" i="1"/>
  <c r="L10" i="1"/>
  <c r="N11" i="1"/>
  <c r="L11" i="1"/>
  <c r="N12" i="1"/>
  <c r="L12" i="1"/>
  <c r="N13" i="1"/>
  <c r="L13" i="1"/>
  <c r="N14" i="1"/>
  <c r="L14" i="1"/>
  <c r="N15" i="1"/>
  <c r="L15" i="1"/>
  <c r="N16" i="1"/>
  <c r="L16" i="1"/>
  <c r="N17" i="1"/>
  <c r="L17" i="1"/>
  <c r="N18" i="1"/>
  <c r="L18" i="1"/>
  <c r="N19" i="1"/>
  <c r="L19" i="1"/>
  <c r="N20" i="1"/>
  <c r="L20" i="1"/>
  <c r="N21" i="1"/>
  <c r="L21" i="1"/>
  <c r="N22" i="1"/>
  <c r="L22" i="1"/>
  <c r="N23" i="1"/>
  <c r="L23" i="1"/>
  <c r="N24" i="1"/>
  <c r="L24" i="1"/>
  <c r="N25" i="1"/>
  <c r="L25" i="1"/>
  <c r="N26" i="1"/>
  <c r="L26" i="1"/>
  <c r="N27" i="1"/>
  <c r="L27" i="1"/>
  <c r="N28" i="1"/>
  <c r="L28" i="1"/>
  <c r="N29" i="1"/>
  <c r="L29" i="1"/>
  <c r="N30" i="1"/>
  <c r="L30" i="1"/>
  <c r="N31" i="1"/>
  <c r="L31" i="1"/>
  <c r="N32" i="1"/>
  <c r="L32" i="1"/>
  <c r="N33" i="1"/>
  <c r="L33" i="1"/>
  <c r="N34" i="1"/>
  <c r="L34" i="1"/>
  <c r="N35" i="1"/>
  <c r="L35" i="1"/>
  <c r="N36" i="1"/>
  <c r="L36" i="1"/>
  <c r="N37" i="1"/>
  <c r="L37" i="1"/>
  <c r="N38" i="1"/>
  <c r="L38" i="1"/>
  <c r="N39" i="1"/>
  <c r="L39" i="1"/>
  <c r="N40" i="1"/>
  <c r="L40" i="1"/>
  <c r="N41" i="1"/>
  <c r="L41" i="1"/>
  <c r="N42" i="1"/>
  <c r="L42" i="1"/>
  <c r="N43" i="1"/>
  <c r="L43" i="1"/>
  <c r="N44" i="1"/>
  <c r="L44" i="1"/>
  <c r="N45" i="1"/>
  <c r="L45" i="1"/>
  <c r="N46" i="1"/>
  <c r="L46" i="1"/>
  <c r="N47" i="1"/>
  <c r="L47" i="1"/>
  <c r="N48" i="1"/>
  <c r="L48" i="1"/>
  <c r="N49" i="1"/>
  <c r="L49" i="1"/>
  <c r="N50" i="1"/>
  <c r="L50" i="1"/>
  <c r="N51" i="1"/>
  <c r="L51" i="1"/>
  <c r="N52" i="1"/>
  <c r="L52" i="1"/>
  <c r="N53" i="1"/>
  <c r="L53" i="1"/>
  <c r="N54" i="1"/>
  <c r="L54" i="1"/>
  <c r="N55" i="1"/>
  <c r="L55" i="1"/>
  <c r="N56" i="1"/>
  <c r="L56" i="1"/>
  <c r="N57" i="1"/>
  <c r="L57" i="1"/>
  <c r="N58" i="1"/>
  <c r="L58" i="1"/>
  <c r="N59" i="1"/>
  <c r="L59" i="1"/>
  <c r="N60" i="1"/>
  <c r="L60" i="1"/>
  <c r="N61" i="1"/>
  <c r="L61" i="1"/>
  <c r="N62" i="1"/>
  <c r="L62" i="1"/>
  <c r="N63" i="1"/>
  <c r="L63" i="1"/>
  <c r="N64" i="1"/>
  <c r="L64" i="1"/>
  <c r="N65" i="1"/>
  <c r="L65" i="1"/>
  <c r="N66" i="1"/>
  <c r="L66" i="1"/>
  <c r="N67" i="1"/>
  <c r="L67" i="1"/>
  <c r="N68" i="1"/>
  <c r="L68" i="1"/>
  <c r="N69" i="1"/>
  <c r="L69" i="1"/>
  <c r="N70" i="1"/>
  <c r="L70" i="1"/>
  <c r="N71" i="1"/>
  <c r="L71" i="1"/>
  <c r="N72" i="1"/>
  <c r="L72" i="1"/>
  <c r="N73" i="1"/>
  <c r="L73" i="1"/>
  <c r="N74" i="1"/>
  <c r="L74" i="1"/>
  <c r="N75" i="1"/>
  <c r="L75" i="1"/>
  <c r="N76" i="1"/>
  <c r="L76" i="1"/>
  <c r="N77" i="1"/>
  <c r="L77" i="1"/>
  <c r="N78" i="1"/>
  <c r="L78" i="1"/>
  <c r="N79" i="1"/>
  <c r="L79" i="1"/>
  <c r="N80" i="1"/>
  <c r="L80" i="1"/>
  <c r="N81" i="1"/>
  <c r="L81" i="1"/>
  <c r="N82" i="1"/>
  <c r="L82" i="1"/>
  <c r="N83" i="1"/>
  <c r="L83" i="1"/>
  <c r="N84" i="1"/>
  <c r="L84" i="1"/>
  <c r="N85" i="1"/>
  <c r="L85" i="1"/>
  <c r="N86" i="1"/>
  <c r="L86" i="1"/>
  <c r="N87" i="1"/>
  <c r="L87" i="1"/>
  <c r="N88" i="1"/>
  <c r="L88" i="1"/>
  <c r="N89" i="1"/>
  <c r="L89" i="1"/>
  <c r="N90" i="1"/>
  <c r="L90" i="1"/>
  <c r="N91" i="1"/>
  <c r="L91" i="1"/>
  <c r="N92" i="1"/>
  <c r="L92" i="1"/>
  <c r="N93" i="1"/>
  <c r="L93" i="1"/>
  <c r="N94" i="1"/>
  <c r="L94" i="1"/>
  <c r="N95" i="1"/>
  <c r="L95" i="1"/>
  <c r="N96" i="1"/>
  <c r="L96" i="1"/>
  <c r="N97" i="1"/>
  <c r="L97" i="1"/>
  <c r="N98" i="1"/>
  <c r="L98" i="1"/>
  <c r="N99" i="1"/>
  <c r="L99" i="1"/>
  <c r="N100" i="1"/>
  <c r="L100" i="1"/>
  <c r="N101" i="1"/>
  <c r="L101" i="1"/>
  <c r="N102" i="1"/>
  <c r="L102" i="1"/>
  <c r="N103" i="1"/>
  <c r="L103" i="1"/>
  <c r="N104" i="1"/>
  <c r="L104" i="1"/>
  <c r="N105" i="1"/>
  <c r="L105" i="1"/>
  <c r="N106" i="1"/>
  <c r="L106" i="1"/>
  <c r="N107" i="1"/>
  <c r="L107" i="1"/>
  <c r="N108" i="1"/>
  <c r="L108" i="1"/>
  <c r="N109" i="1"/>
  <c r="L109" i="1"/>
  <c r="N110" i="1"/>
  <c r="L110" i="1"/>
  <c r="N111" i="1"/>
  <c r="L111" i="1"/>
  <c r="N112" i="1"/>
  <c r="L112" i="1"/>
  <c r="N113" i="1"/>
  <c r="L113" i="1"/>
  <c r="N114" i="1"/>
  <c r="L114" i="1"/>
  <c r="N115" i="1"/>
  <c r="L115" i="1"/>
  <c r="N116" i="1"/>
  <c r="L116" i="1"/>
  <c r="N117" i="1"/>
  <c r="L117" i="1"/>
  <c r="N118" i="1"/>
  <c r="L118" i="1"/>
  <c r="N119" i="1"/>
  <c r="L119" i="1"/>
  <c r="N120" i="1"/>
  <c r="L120" i="1"/>
  <c r="N121" i="1"/>
  <c r="L121" i="1"/>
  <c r="N122" i="1"/>
  <c r="L122" i="1"/>
  <c r="N123" i="1"/>
  <c r="L123" i="1"/>
  <c r="N124" i="1"/>
  <c r="L124" i="1"/>
  <c r="N125" i="1"/>
  <c r="L125" i="1"/>
  <c r="N126" i="1"/>
  <c r="L126" i="1"/>
  <c r="N127" i="1"/>
  <c r="L127" i="1"/>
  <c r="N128" i="1"/>
  <c r="L128" i="1"/>
  <c r="N129" i="1"/>
  <c r="L129" i="1"/>
  <c r="N130" i="1"/>
  <c r="L130" i="1"/>
  <c r="N131" i="1"/>
  <c r="L131" i="1"/>
  <c r="N132" i="1"/>
  <c r="L132" i="1"/>
  <c r="N133" i="1"/>
  <c r="L133" i="1"/>
  <c r="N134" i="1"/>
  <c r="L134" i="1"/>
  <c r="N135" i="1"/>
  <c r="L135" i="1"/>
  <c r="N136" i="1"/>
  <c r="L136" i="1"/>
  <c r="N137" i="1"/>
  <c r="L137" i="1"/>
  <c r="N138" i="1"/>
  <c r="L138" i="1"/>
  <c r="N139" i="1"/>
  <c r="L139" i="1"/>
  <c r="N140" i="1"/>
  <c r="L140" i="1"/>
  <c r="N141" i="1"/>
  <c r="L141" i="1"/>
  <c r="N142" i="1"/>
  <c r="L142" i="1"/>
  <c r="N143" i="1"/>
  <c r="L143" i="1"/>
  <c r="N144" i="1"/>
  <c r="L144" i="1"/>
  <c r="N145" i="1"/>
  <c r="L145" i="1"/>
  <c r="N146" i="1"/>
  <c r="L146" i="1"/>
  <c r="N147" i="1"/>
  <c r="L147" i="1"/>
  <c r="N148" i="1"/>
  <c r="L148" i="1"/>
  <c r="N149" i="1"/>
  <c r="L149" i="1"/>
  <c r="N150" i="1"/>
  <c r="L150" i="1"/>
  <c r="N151" i="1"/>
  <c r="L151" i="1"/>
  <c r="N152" i="1"/>
  <c r="L152" i="1"/>
  <c r="N153" i="1"/>
  <c r="L153" i="1"/>
  <c r="N154" i="1"/>
  <c r="L154" i="1"/>
  <c r="N155" i="1"/>
  <c r="L155" i="1"/>
  <c r="N156" i="1"/>
  <c r="L156" i="1"/>
  <c r="N157" i="1"/>
  <c r="L157" i="1"/>
  <c r="N158" i="1"/>
  <c r="L158" i="1"/>
  <c r="N159" i="1"/>
  <c r="L159" i="1"/>
  <c r="N160" i="1"/>
  <c r="L160" i="1"/>
  <c r="N161" i="1"/>
  <c r="L161" i="1"/>
  <c r="N162" i="1"/>
  <c r="L162" i="1"/>
  <c r="N163" i="1"/>
  <c r="L163" i="1"/>
  <c r="N164" i="1"/>
  <c r="L164" i="1"/>
  <c r="N165" i="1"/>
  <c r="L165" i="1"/>
  <c r="N166" i="1"/>
  <c r="L166" i="1"/>
  <c r="N167" i="1"/>
  <c r="L167" i="1"/>
  <c r="N168" i="1"/>
  <c r="L168" i="1"/>
  <c r="N169" i="1"/>
  <c r="L169" i="1"/>
  <c r="N170" i="1"/>
  <c r="L170" i="1"/>
  <c r="N171" i="1"/>
  <c r="L171" i="1"/>
  <c r="N172" i="1"/>
  <c r="L172" i="1"/>
  <c r="N173" i="1"/>
  <c r="L173" i="1"/>
  <c r="N174" i="1"/>
  <c r="L174" i="1"/>
  <c r="N175" i="1"/>
  <c r="L175" i="1"/>
  <c r="N176" i="1"/>
  <c r="L176" i="1"/>
  <c r="N177" i="1"/>
  <c r="L177" i="1"/>
  <c r="N178" i="1"/>
  <c r="L178" i="1"/>
  <c r="N179" i="1"/>
  <c r="L179" i="1"/>
  <c r="N180" i="1"/>
  <c r="L180" i="1"/>
  <c r="N181" i="1"/>
  <c r="L181" i="1"/>
  <c r="N182" i="1"/>
  <c r="L182" i="1"/>
  <c r="N183" i="1"/>
  <c r="L183" i="1"/>
  <c r="N184" i="1"/>
  <c r="L184" i="1"/>
  <c r="N185" i="1"/>
  <c r="L185" i="1"/>
  <c r="N186" i="1"/>
  <c r="L186" i="1"/>
  <c r="N187" i="1"/>
  <c r="L187" i="1"/>
  <c r="N188" i="1"/>
  <c r="L188" i="1"/>
  <c r="N189" i="1"/>
  <c r="L189" i="1"/>
  <c r="N190" i="1"/>
  <c r="L190" i="1"/>
  <c r="N191" i="1"/>
  <c r="L191" i="1"/>
  <c r="N192" i="1"/>
  <c r="L192" i="1"/>
  <c r="N193" i="1"/>
  <c r="L193" i="1"/>
  <c r="N194" i="1"/>
  <c r="L194" i="1"/>
  <c r="N195" i="1"/>
  <c r="L195" i="1"/>
  <c r="N196" i="1"/>
  <c r="L196" i="1"/>
  <c r="N197" i="1"/>
  <c r="L197" i="1"/>
  <c r="N198" i="1"/>
  <c r="L198" i="1"/>
  <c r="N199" i="1"/>
  <c r="L199" i="1"/>
  <c r="N200" i="1"/>
  <c r="L200" i="1"/>
  <c r="N201" i="1"/>
  <c r="L201" i="1"/>
  <c r="N202" i="1"/>
  <c r="L202" i="1"/>
  <c r="N203" i="1"/>
  <c r="L203" i="1"/>
  <c r="D239" i="1" l="1"/>
  <c r="F219" i="1"/>
  <c r="N4" i="1"/>
  <c r="D238" i="1"/>
  <c r="D243" i="1"/>
  <c r="D244" i="1"/>
  <c r="K204" i="1"/>
  <c r="A15" i="4" s="1"/>
  <c r="D240" i="1" s="1"/>
  <c r="F222" i="1"/>
  <c r="L4" i="1"/>
  <c r="F221" i="1"/>
  <c r="F220" i="1"/>
  <c r="H225" i="1"/>
  <c r="F5" i="2"/>
  <c r="G219" i="1" l="1"/>
  <c r="D242" i="1"/>
  <c r="G220" i="1"/>
  <c r="G221" i="1"/>
  <c r="G22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<sst xmlns="http://schemas.openxmlformats.org/spreadsheetml/2006/main" count="3338" uniqueCount="1157">
  <si>
    <t>Order ID</t>
  </si>
  <si>
    <t>Order_Date</t>
  </si>
  <si>
    <t>Customer ID</t>
  </si>
  <si>
    <t>Product ID</t>
  </si>
  <si>
    <t>Quantity</t>
  </si>
  <si>
    <t>Unit_Price</t>
  </si>
  <si>
    <t>Discount</t>
  </si>
  <si>
    <t>Payment_Mode</t>
  </si>
  <si>
    <t>Order_status</t>
  </si>
  <si>
    <t>ORD1001</t>
  </si>
  <si>
    <t>ORD1002</t>
  </si>
  <si>
    <t>ORD1003</t>
  </si>
  <si>
    <t>ORD1004</t>
  </si>
  <si>
    <t>ORD1005</t>
  </si>
  <si>
    <t>ORD1006</t>
  </si>
  <si>
    <t>ORD1007</t>
  </si>
  <si>
    <t>ORD1008</t>
  </si>
  <si>
    <t>ORD1009</t>
  </si>
  <si>
    <t>ORD1010</t>
  </si>
  <si>
    <t>ORD1011</t>
  </si>
  <si>
    <t>ORD1012</t>
  </si>
  <si>
    <t>ORD1013</t>
  </si>
  <si>
    <t>ORD1014</t>
  </si>
  <si>
    <t>ORD1015</t>
  </si>
  <si>
    <t>ORD1016</t>
  </si>
  <si>
    <t>ORD1017</t>
  </si>
  <si>
    <t>ORD1018</t>
  </si>
  <si>
    <t>ORD1019</t>
  </si>
  <si>
    <t>ORD1020</t>
  </si>
  <si>
    <t>ORD1021</t>
  </si>
  <si>
    <t>ORD1022</t>
  </si>
  <si>
    <t>ORD1023</t>
  </si>
  <si>
    <t>ORD1024</t>
  </si>
  <si>
    <t>ORD1025</t>
  </si>
  <si>
    <t>ORD1026</t>
  </si>
  <si>
    <t>ORD1027</t>
  </si>
  <si>
    <t>ORD1028</t>
  </si>
  <si>
    <t>ORD1029</t>
  </si>
  <si>
    <t>ORD1030</t>
  </si>
  <si>
    <t>ORD1031</t>
  </si>
  <si>
    <t>ORD1032</t>
  </si>
  <si>
    <t>ORD1033</t>
  </si>
  <si>
    <t>ORD1034</t>
  </si>
  <si>
    <t>ORD1035</t>
  </si>
  <si>
    <t>ORD1036</t>
  </si>
  <si>
    <t>ORD1037</t>
  </si>
  <si>
    <t>ORD1038</t>
  </si>
  <si>
    <t>ORD1039</t>
  </si>
  <si>
    <t>ORD1040</t>
  </si>
  <si>
    <t>ORD1041</t>
  </si>
  <si>
    <t>ORD1042</t>
  </si>
  <si>
    <t>ORD1043</t>
  </si>
  <si>
    <t>ORD1044</t>
  </si>
  <si>
    <t>ORD1045</t>
  </si>
  <si>
    <t>ORD1046</t>
  </si>
  <si>
    <t>ORD1047</t>
  </si>
  <si>
    <t>ORD1048</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</si>
  <si>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</si>
  <si>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</si>
  <si>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</si>
  <si>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</si>
  <si>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</si>
  <si>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</si>
  <si>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</si>
  <si>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</si>
  <si>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</si>
  <si>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</si>
  <si>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</si>
  <si>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</si>
  <si>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</si>
  <si>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</si>
  <si>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</si>
  <si>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</si>
  <si>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</si>
  <si>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</si>
  <si>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</si>
  <si>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</si>
  <si>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</si>
  <si>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</si>
  <si>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</si>
  <si>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</si>
  <si>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</si>
  <si>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</si>
  <si>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</si>
  <si>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</si>
  <si>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</si>
  <si>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</si>
  <si>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</si>
  <si>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</si>
  <si>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</si>
  <si>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</si>
  <si>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</si>
  <si>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</si>
  <si>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</si>
  <si>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</si>
  <si>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</si>
  <si>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</si>
  <si>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</si>
  <si>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</si>
  <si>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</si>
  <si>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</si>
  <si>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</si>
  <si>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</si>
  <si>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</si>
  <si>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</si>
  <si>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</si>
  <si>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</si>
  <si>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</si>
  <si>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</si>
  <si>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</si>
  <si>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</si>
  <si>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</si>
  <si>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</si>
  <si>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</si>
  <si>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</si>
  <si>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</si>
  <si>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</si>
  <si>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</si>
  <si>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</si>
  <si>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</si>
  <si>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</si>
  <si>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</si>
  <si>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</si>
  <si>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</si>
  <si>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</si>
  <si>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</si>
  <si>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</si>
  <si>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</si>
  <si>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</si>
  <si>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</si>
  <si>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</si>
  <si>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</si>
  <si>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</si>
  <si>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</si>
  <si>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</si>
  <si>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</si>
  <si>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</si>
  <si>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</si>
  <si>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</si>
  <si>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</si>
  <si>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</si>
  <si>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</si>
  <si>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</si>
  <si>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</si>
  <si>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</si>
  <si>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</si>
  <si>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</si>
  <si>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</si>
  <si>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</si>
  <si>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</si>
  <si>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</si>
  <si>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</si>
  <si>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</si>
  <si>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</si>
  <si>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</si>
  <si>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</si>
  <si>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</si>
  <si>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</si>
  <si>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</si>
  <si>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</si>
  <si>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</si>
  <si>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</si>
  <si>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</si>
  <si>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</si>
  <si>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</si>
  <si>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</si>
  <si>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</si>
  <si>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</si>
  <si>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</si>
  <si>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</si>
  <si>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</si>
  <si>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</si>
  <si>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</si>
  <si>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</si>
  <si>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</si>
  <si>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</si>
  <si>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</si>
  <si>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</si>
  <si>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</si>
  <si>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</si>
  <si>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</si>
  <si>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</si>
  <si>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</si>
  <si>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</si>
  <si>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</si>
  <si>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</si>
  <si>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</si>
  <si>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</si>
  <si>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</si>
  <si>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</si>
  <si>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</si>
  <si>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</si>
  <si>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</si>
  <si>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</si>
  <si>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</si>
  <si>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</si>
  <si>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</si>
  <si>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</si>
  <si>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</si>
  <si>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</si>
  <si>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</si>
  <si>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</si>
  <si>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</si>
  <si>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</si>
  <si>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</si>
  <si>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</si>
  <si>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</si>
  <si>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</si>
  <si>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</si>
  <si>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C001</t>
  </si>
  <si>
    <t>C002</t>
  </si>
  <si>
    <t>C003</t>
  </si>
  <si>
    <t>C004</t>
  </si>
  <si>
    <t>C005</t>
  </si>
  <si>
    <t>C006</t>
  </si>
  <si>
    <t>C007</t>
  </si>
  <si>
    <t>C008</t>
  </si>
  <si>
    <t>C009</t>
  </si>
  <si>
    <t>C010</t>
  </si>
  <si>
    <t>C011</t>
  </si>
  <si>
    <t>C012</t>
  </si>
  <si>
    <t>C013</t>
  </si>
  <si>
    <t>C014</t>
  </si>
  <si>
    <t>C015</t>
  </si>
  <si>
    <t>C016</t>
  </si>
  <si>
    <t>C017</t>
  </si>
  <si>
    <t>C018</t>
  </si>
  <si>
    <t>C019</t>
  </si>
  <si>
    <t>C020</t>
  </si>
  <si>
    <t>C021</t>
  </si>
  <si>
    <t>C022</t>
  </si>
  <si>
    <t>C023</t>
  </si>
  <si>
    <t>C024</t>
  </si>
  <si>
    <t>C025</t>
  </si>
  <si>
    <t>C026</t>
  </si>
  <si>
    <t>C027</t>
  </si>
  <si>
    <t>C028</t>
  </si>
  <si>
    <t>C029</t>
  </si>
  <si>
    <t>C030</t>
  </si>
  <si>
    <t>C031</t>
  </si>
  <si>
    <t>C032</t>
  </si>
  <si>
    <t>C033</t>
  </si>
  <si>
    <t>C034</t>
  </si>
  <si>
    <t>C035</t>
  </si>
  <si>
    <t>C036</t>
  </si>
  <si>
    <t>C037</t>
  </si>
  <si>
    <t>C038</t>
  </si>
  <si>
    <t>C039</t>
  </si>
  <si>
    <t>C040</t>
  </si>
  <si>
    <t>C041</t>
  </si>
  <si>
    <t>C042</t>
  </si>
  <si>
    <t>C043</t>
  </si>
  <si>
    <t>C044</t>
  </si>
  <si>
    <t>C045</t>
  </si>
  <si>
    <t>C046</t>
  </si>
  <si>
    <t>C047</t>
  </si>
  <si>
    <t>C048</t>
  </si>
  <si>
    <t>C049</t>
  </si>
  <si>
    <t>C050</t>
  </si>
  <si>
    <t>C051</t>
  </si>
  <si>
    <t>C052</t>
  </si>
  <si>
    <t>C053</t>
  </si>
  <si>
    <t>C054</t>
  </si>
  <si>
    <t>C055</t>
  </si>
  <si>
    <t>C056</t>
  </si>
  <si>
    <t>C057</t>
  </si>
  <si>
    <t>C058</t>
  </si>
  <si>
    <t>C059</t>
  </si>
  <si>
    <t>C060</t>
  </si>
  <si>
    <t>C061</t>
  </si>
  <si>
    <t>C062</t>
  </si>
  <si>
    <t>C063</t>
  </si>
  <si>
    <t>C064</t>
  </si>
  <si>
    <t>C065</t>
  </si>
  <si>
    <t>C066</t>
  </si>
  <si>
    <t>C067</t>
  </si>
  <si>
    <t>C068</t>
  </si>
  <si>
    <t>C069</t>
  </si>
  <si>
    <t>C070</t>
  </si>
  <si>
    <t>C071</t>
  </si>
  <si>
    <t>C072</t>
  </si>
  <si>
    <t>C073</t>
  </si>
  <si>
    <t>C074</t>
  </si>
  <si>
    <t>C075</t>
  </si>
  <si>
    <t>C076</t>
  </si>
  <si>
    <t>C077</t>
  </si>
  <si>
    <t>C078</t>
  </si>
  <si>
    <t>C079</t>
  </si>
  <si>
    <t>C080</t>
  </si>
  <si>
    <t>C081</t>
  </si>
  <si>
    <t>C082</t>
  </si>
  <si>
    <t>C083</t>
  </si>
  <si>
    <t>C084</t>
  </si>
  <si>
    <t>C085</t>
  </si>
  <si>
    <t>C086</t>
  </si>
  <si>
    <t>C087</t>
  </si>
  <si>
    <t>C088</t>
  </si>
  <si>
    <t>C089</t>
  </si>
  <si>
    <t>C090</t>
  </si>
  <si>
    <t>C091</t>
  </si>
  <si>
    <t>C092</t>
  </si>
  <si>
    <t>C093</t>
  </si>
  <si>
    <t>C094</t>
  </si>
  <si>
    <t>C095</t>
  </si>
  <si>
    <t>C096</t>
  </si>
  <si>
    <t>C097</t>
  </si>
  <si>
    <t>C098</t>
  </si>
  <si>
    <t>C099</t>
  </si>
  <si>
    <t>C100</t>
  </si>
  <si>
    <t>C101</t>
  </si>
  <si>
    <t>C102</t>
  </si>
  <si>
    <t>C103</t>
  </si>
  <si>
    <t>C104</t>
  </si>
  <si>
    <t>C105</t>
  </si>
  <si>
    <t>C106</t>
  </si>
  <si>
    <t>C107</t>
  </si>
  <si>
    <t>C108</t>
  </si>
  <si>
    <t>C109</t>
  </si>
  <si>
    <t>C110</t>
  </si>
  <si>
    <t>C111</t>
  </si>
  <si>
    <t>C112</t>
  </si>
  <si>
    <t>C113</t>
  </si>
  <si>
    <t>C114</t>
  </si>
  <si>
    <t>C115</t>
  </si>
  <si>
    <t>C116</t>
  </si>
  <si>
    <t>C117</t>
  </si>
  <si>
    <t>C118</t>
  </si>
  <si>
    <t>C119</t>
  </si>
  <si>
    <t>C120</t>
  </si>
  <si>
    <t>C121</t>
  </si>
  <si>
    <t>C122</t>
  </si>
  <si>
    <t>C123</t>
  </si>
  <si>
    <t>C124</t>
  </si>
  <si>
    <t>C125</t>
  </si>
  <si>
    <t>C126</t>
  </si>
  <si>
    <t>C127</t>
  </si>
  <si>
    <t>C128</t>
  </si>
  <si>
    <t>C129</t>
  </si>
  <si>
    <t>C130</t>
  </si>
  <si>
    <t>C131</t>
  </si>
  <si>
    <t>C132</t>
  </si>
  <si>
    <t>C133</t>
  </si>
  <si>
    <t>C134</t>
  </si>
  <si>
    <t>C135</t>
  </si>
  <si>
    <t>C136</t>
  </si>
  <si>
    <t>C137</t>
  </si>
  <si>
    <t>C138</t>
  </si>
  <si>
    <t>C139</t>
  </si>
  <si>
    <t>C140</t>
  </si>
  <si>
    <t>C141</t>
  </si>
  <si>
    <t>C142</t>
  </si>
  <si>
    <t>C143</t>
  </si>
  <si>
    <t>C144</t>
  </si>
  <si>
    <t>C145</t>
  </si>
  <si>
    <t>C146</t>
  </si>
  <si>
    <t>C147</t>
  </si>
  <si>
    <t>C148</t>
  </si>
  <si>
    <t>C149</t>
  </si>
  <si>
    <t>C150</t>
  </si>
  <si>
    <t>C151</t>
  </si>
  <si>
    <t>C152</t>
  </si>
  <si>
    <t>C153</t>
  </si>
  <si>
    <t>C154</t>
  </si>
  <si>
    <t>C155</t>
  </si>
  <si>
    <t>C156</t>
  </si>
  <si>
    <t>C157</t>
  </si>
  <si>
    <t>C158</t>
  </si>
  <si>
    <t>C159</t>
  </si>
  <si>
    <t>C160</t>
  </si>
  <si>
    <t>C161</t>
  </si>
  <si>
    <t>C162</t>
  </si>
  <si>
    <t>C163</t>
  </si>
  <si>
    <t>C164</t>
  </si>
  <si>
    <t>C165</t>
  </si>
  <si>
    <t>C166</t>
  </si>
  <si>
    <t>C167</t>
  </si>
  <si>
    <t>C168</t>
  </si>
  <si>
    <t>C169</t>
  </si>
  <si>
    <t>C170</t>
  </si>
  <si>
    <t>C171</t>
  </si>
  <si>
    <t>C172</t>
  </si>
  <si>
    <t>C173</t>
  </si>
  <si>
    <t>C174</t>
  </si>
  <si>
    <t>C175</t>
  </si>
  <si>
    <t>C176</t>
  </si>
  <si>
    <t>C177</t>
  </si>
  <si>
    <t>C178</t>
  </si>
  <si>
    <t>C179</t>
  </si>
  <si>
    <t>C180</t>
  </si>
  <si>
    <t>C181</t>
  </si>
  <si>
    <t>C182</t>
  </si>
  <si>
    <t>C183</t>
  </si>
  <si>
    <t>C184</t>
  </si>
  <si>
    <t>C185</t>
  </si>
  <si>
    <t>C186</t>
  </si>
  <si>
    <t>C187</t>
  </si>
  <si>
    <t>C188</t>
  </si>
  <si>
    <t>C189</t>
  </si>
  <si>
    <t>C190</t>
  </si>
  <si>
    <t>C191</t>
  </si>
  <si>
    <t>C192</t>
  </si>
  <si>
    <t>C193</t>
  </si>
  <si>
    <t>C194</t>
  </si>
  <si>
    <t>C195</t>
  </si>
  <si>
    <t>C196</t>
  </si>
  <si>
    <t>C197</t>
  </si>
  <si>
    <t>C198</t>
  </si>
  <si>
    <t>C199</t>
  </si>
  <si>
    <t>C200</t>
  </si>
  <si>
    <t>P001</t>
  </si>
  <si>
    <t>P002</t>
  </si>
  <si>
    <t>P003</t>
  </si>
  <si>
    <t>P004</t>
  </si>
  <si>
    <t>P005</t>
  </si>
  <si>
    <t>P006</t>
  </si>
  <si>
    <t>P007</t>
  </si>
  <si>
    <t>P008</t>
  </si>
  <si>
    <t>P009</t>
  </si>
  <si>
    <t>P010</t>
  </si>
  <si>
    <t>P011</t>
  </si>
  <si>
    <t>P012</t>
  </si>
  <si>
    <t>P013</t>
  </si>
  <si>
    <t>P014</t>
  </si>
  <si>
    <t>P015</t>
  </si>
  <si>
    <t>P016</t>
  </si>
  <si>
    <t>P017</t>
  </si>
  <si>
    <t>P018</t>
  </si>
  <si>
    <t>P019</t>
  </si>
  <si>
    <t>P020</t>
  </si>
  <si>
    <t>P021</t>
  </si>
  <si>
    <t>P022</t>
  </si>
  <si>
    <t>P023</t>
  </si>
  <si>
    <t>P024</t>
  </si>
  <si>
    <t>P025</t>
  </si>
  <si>
    <t>P026</t>
  </si>
  <si>
    <t>P027</t>
  </si>
  <si>
    <t>P028</t>
  </si>
  <si>
    <t>P029</t>
  </si>
  <si>
    <t>P030</t>
  </si>
  <si>
    <t>P031</t>
  </si>
  <si>
    <t>P032</t>
  </si>
  <si>
    <t>P033</t>
  </si>
  <si>
    <t>P034</t>
  </si>
  <si>
    <t>P035</t>
  </si>
  <si>
    <t>P036</t>
  </si>
  <si>
    <t>P037</t>
  </si>
  <si>
    <t>P038</t>
  </si>
  <si>
    <t>P039</t>
  </si>
  <si>
    <t>P040</t>
  </si>
  <si>
    <t>P041</t>
  </si>
  <si>
    <t>P042</t>
  </si>
  <si>
    <t>P043</t>
  </si>
  <si>
    <t>P044</t>
  </si>
  <si>
    <t>P045</t>
  </si>
  <si>
    <t>P046</t>
  </si>
  <si>
    <t>P047</t>
  </si>
  <si>
    <t>P048</t>
  </si>
  <si>
    <t>P049</t>
  </si>
  <si>
    <t>P050</t>
  </si>
  <si>
    <t>P051</t>
  </si>
  <si>
    <t>P052</t>
  </si>
  <si>
    <t>P053</t>
  </si>
  <si>
    <t>P054</t>
  </si>
  <si>
    <t>P055</t>
  </si>
  <si>
    <t>P056</t>
  </si>
  <si>
    <t>P057</t>
  </si>
  <si>
    <t>P058</t>
  </si>
  <si>
    <t>P059</t>
  </si>
  <si>
    <t>P060</t>
  </si>
  <si>
    <t>P061</t>
  </si>
  <si>
    <t>P062</t>
  </si>
  <si>
    <t>P063</t>
  </si>
  <si>
    <t>P064</t>
  </si>
  <si>
    <t>P065</t>
  </si>
  <si>
    <t>P066</t>
  </si>
  <si>
    <t>P067</t>
  </si>
  <si>
    <t>P068</t>
  </si>
  <si>
    <t>P069</t>
  </si>
  <si>
    <t>P070</t>
  </si>
  <si>
    <t>P071</t>
  </si>
  <si>
    <t>P072</t>
  </si>
  <si>
    <t>P073</t>
  </si>
  <si>
    <t>P074</t>
  </si>
  <si>
    <t>P075</t>
  </si>
  <si>
    <t>P076</t>
  </si>
  <si>
    <t>P077</t>
  </si>
  <si>
    <t>P078</t>
  </si>
  <si>
    <t>P079</t>
  </si>
  <si>
    <t>P080</t>
  </si>
  <si>
    <t>P081</t>
  </si>
  <si>
    <t>P082</t>
  </si>
  <si>
    <t>P083</t>
  </si>
  <si>
    <t>P084</t>
  </si>
  <si>
    <t>P085</t>
  </si>
  <si>
    <t>P086</t>
  </si>
  <si>
    <t>P087</t>
  </si>
  <si>
    <t>P088</t>
  </si>
  <si>
    <t>P089</t>
  </si>
  <si>
    <t>P090</t>
  </si>
  <si>
    <t>P091</t>
  </si>
  <si>
    <t>P092</t>
  </si>
  <si>
    <t>P093</t>
  </si>
  <si>
    <t>P094</t>
  </si>
  <si>
    <t>P095</t>
  </si>
  <si>
    <t>P096</t>
  </si>
  <si>
    <t>P097</t>
  </si>
  <si>
    <t>P098</t>
  </si>
  <si>
    <t>P099</t>
  </si>
  <si>
    <t>P100</t>
  </si>
  <si>
    <t>P101</t>
  </si>
  <si>
    <t>P102</t>
  </si>
  <si>
    <t>P103</t>
  </si>
  <si>
    <t>P104</t>
  </si>
  <si>
    <t>P105</t>
  </si>
  <si>
    <t>P106</t>
  </si>
  <si>
    <t>P107</t>
  </si>
  <si>
    <t>P108</t>
  </si>
  <si>
    <t>P109</t>
  </si>
  <si>
    <t>P110</t>
  </si>
  <si>
    <t>P111</t>
  </si>
  <si>
    <t>P112</t>
  </si>
  <si>
    <t>P113</t>
  </si>
  <si>
    <t>P114</t>
  </si>
  <si>
    <t>P115</t>
  </si>
  <si>
    <t>P116</t>
  </si>
  <si>
    <t>P117</t>
  </si>
  <si>
    <t>P118</t>
  </si>
  <si>
    <t>P119</t>
  </si>
  <si>
    <t>P120</t>
  </si>
  <si>
    <t>P121</t>
  </si>
  <si>
    <t>P122</t>
  </si>
  <si>
    <t>P123</t>
  </si>
  <si>
    <t>P124</t>
  </si>
  <si>
    <t>P125</t>
  </si>
  <si>
    <t>P126</t>
  </si>
  <si>
    <t>P127</t>
  </si>
  <si>
    <t>P128</t>
  </si>
  <si>
    <t>P129</t>
  </si>
  <si>
    <t>P130</t>
  </si>
  <si>
    <t>P131</t>
  </si>
  <si>
    <t>P132</t>
  </si>
  <si>
    <t>P133</t>
  </si>
  <si>
    <t>P134</t>
  </si>
  <si>
    <t>P135</t>
  </si>
  <si>
    <t>P136</t>
  </si>
  <si>
    <t>P137</t>
  </si>
  <si>
    <t>P138</t>
  </si>
  <si>
    <t>P139</t>
  </si>
  <si>
    <t>P140</t>
  </si>
  <si>
    <t>P141</t>
  </si>
  <si>
    <t>P142</t>
  </si>
  <si>
    <t>P143</t>
  </si>
  <si>
    <t>P144</t>
  </si>
  <si>
    <t>P145</t>
  </si>
  <si>
    <t>P146</t>
  </si>
  <si>
    <t>P147</t>
  </si>
  <si>
    <t>P148</t>
  </si>
  <si>
    <t>P149</t>
  </si>
  <si>
    <t>P150</t>
  </si>
  <si>
    <t>P151</t>
  </si>
  <si>
    <t>P152</t>
  </si>
  <si>
    <t>P153</t>
  </si>
  <si>
    <t>P154</t>
  </si>
  <si>
    <t>P155</t>
  </si>
  <si>
    <t>P156</t>
  </si>
  <si>
    <t>P157</t>
  </si>
  <si>
    <t>P158</t>
  </si>
  <si>
    <t>P159</t>
  </si>
  <si>
    <t>P160</t>
  </si>
  <si>
    <t>P161</t>
  </si>
  <si>
    <t>P162</t>
  </si>
  <si>
    <t>P163</t>
  </si>
  <si>
    <t>P164</t>
  </si>
  <si>
    <t>P165</t>
  </si>
  <si>
    <t>P166</t>
  </si>
  <si>
    <t>P167</t>
  </si>
  <si>
    <t>P168</t>
  </si>
  <si>
    <t>P169</t>
  </si>
  <si>
    <t>P170</t>
  </si>
  <si>
    <t>P171</t>
  </si>
  <si>
    <t>P172</t>
  </si>
  <si>
    <t>P173</t>
  </si>
  <si>
    <t>P174</t>
  </si>
  <si>
    <t>P175</t>
  </si>
  <si>
    <t>P176</t>
  </si>
  <si>
    <t>P177</t>
  </si>
  <si>
    <t>P178</t>
  </si>
  <si>
    <t>P179</t>
  </si>
  <si>
    <t>P180</t>
  </si>
  <si>
    <t>P181</t>
  </si>
  <si>
    <t>P182</t>
  </si>
  <si>
    <t>P183</t>
  </si>
  <si>
    <t>P184</t>
  </si>
  <si>
    <t>P185</t>
  </si>
  <si>
    <t>P186</t>
  </si>
  <si>
    <t>P187</t>
  </si>
  <si>
    <t>P188</t>
  </si>
  <si>
    <t>P189</t>
  </si>
  <si>
    <t>P190</t>
  </si>
  <si>
    <t>P191</t>
  </si>
  <si>
    <t>P192</t>
  </si>
  <si>
    <t>P193</t>
  </si>
  <si>
    <t>P194</t>
  </si>
  <si>
    <t>P195</t>
  </si>
  <si>
    <t>P196</t>
  </si>
  <si>
    <t>P197</t>
  </si>
  <si>
    <t>P198</t>
  </si>
  <si>
    <t>P199</t>
  </si>
  <si>
    <t>P200</t>
  </si>
  <si>
    <t>Credit Card</t>
  </si>
  <si>
    <t>Delivered</t>
  </si>
  <si>
    <t>UPI</t>
  </si>
  <si>
    <t>Cash on delivery</t>
  </si>
  <si>
    <t>Pending</t>
  </si>
  <si>
    <t>Buy Now Pay later</t>
  </si>
  <si>
    <t xml:space="preserve">EMI </t>
  </si>
  <si>
    <t>No Cost EMI</t>
  </si>
  <si>
    <t>Gross_Sales</t>
  </si>
  <si>
    <t>Discount_Amount</t>
  </si>
  <si>
    <t>Net Sales</t>
  </si>
  <si>
    <t>Order Cateogry</t>
  </si>
  <si>
    <t>Delivery_Charges</t>
  </si>
  <si>
    <t>Pending Orders</t>
  </si>
  <si>
    <t>Delivered Orders</t>
  </si>
  <si>
    <t>EMI</t>
  </si>
  <si>
    <t>No cost EMI</t>
  </si>
  <si>
    <t>Buy now pay later</t>
  </si>
  <si>
    <t>Total</t>
  </si>
  <si>
    <t>Net sales</t>
  </si>
  <si>
    <t>Average</t>
  </si>
  <si>
    <t>Maximum</t>
  </si>
  <si>
    <t>Minimum</t>
  </si>
  <si>
    <t>Surplus</t>
  </si>
  <si>
    <t>Customer_Name</t>
  </si>
  <si>
    <t>City</t>
  </si>
  <si>
    <t>State</t>
  </si>
  <si>
    <t>Age</t>
  </si>
  <si>
    <t>Customer_Segment</t>
  </si>
  <si>
    <t>Product purchased</t>
  </si>
  <si>
    <t xml:space="preserve">Product ID </t>
  </si>
  <si>
    <t>Gross Sales</t>
  </si>
  <si>
    <t>Mode Of Payment</t>
  </si>
  <si>
    <t>Total amount</t>
  </si>
  <si>
    <t>cartons of Uniball pens</t>
  </si>
  <si>
    <t>cartons of reynolds pens</t>
  </si>
  <si>
    <t>cartons of flair easy click ballpoint pens</t>
  </si>
  <si>
    <t>cartons of hauser easy click ballpoint pens</t>
  </si>
  <si>
    <t>packet of Godrej Hair color</t>
  </si>
  <si>
    <t>Atta Cookies</t>
  </si>
  <si>
    <t>Mobile Accessories</t>
  </si>
  <si>
    <t xml:space="preserve">Oswal Sample paper books 12th class </t>
  </si>
  <si>
    <t xml:space="preserve">Oswal Sample paper books 10th class </t>
  </si>
  <si>
    <t xml:space="preserve">Lego set buy 2 get 1 free </t>
  </si>
  <si>
    <t>packet of Kashmiri Walnuts</t>
  </si>
  <si>
    <t>dryfruit Container Set</t>
  </si>
  <si>
    <t>cuttlery items</t>
  </si>
  <si>
    <t>Diet coke can carton</t>
  </si>
  <si>
    <t>Pepsi can carton</t>
  </si>
  <si>
    <t>Thumsup can carton</t>
  </si>
  <si>
    <t>Mountain Dew can carton</t>
  </si>
  <si>
    <t>Antique Lion Statue</t>
  </si>
  <si>
    <t>Automobile Accessories</t>
  </si>
  <si>
    <t>Water Taps</t>
  </si>
  <si>
    <t>Redmi Note 4 Mobile Cover</t>
  </si>
  <si>
    <t>Micromax Smartphone</t>
  </si>
  <si>
    <t>Laptop Charger</t>
  </si>
  <si>
    <t xml:space="preserve"> Painting</t>
  </si>
  <si>
    <t>Cricket kit SG</t>
  </si>
  <si>
    <t>Lego Star wars set</t>
  </si>
  <si>
    <t>Ikea Tables</t>
  </si>
  <si>
    <t>Hair Care kit for women</t>
  </si>
  <si>
    <t>Nothing Phone 3A</t>
  </si>
  <si>
    <t>Colgate Toothpaste</t>
  </si>
  <si>
    <t>JBL Bluetooth Airpods</t>
  </si>
  <si>
    <t>Boat Earphones</t>
  </si>
  <si>
    <t>Redmi Note 4 smartphone</t>
  </si>
  <si>
    <t>Jaldhera Water meters</t>
  </si>
  <si>
    <t>Kranti Water meters</t>
  </si>
  <si>
    <t>Boat rockerz Bluetooth headbands</t>
  </si>
  <si>
    <t>Ikea Furniture Set</t>
  </si>
  <si>
    <t>Cooking set</t>
  </si>
  <si>
    <t>Crockery set</t>
  </si>
  <si>
    <t xml:space="preserve">gaming mouse </t>
  </si>
  <si>
    <t>Realme P4</t>
  </si>
  <si>
    <t>Mobile Chargers</t>
  </si>
  <si>
    <t>International Business Indoor Games</t>
  </si>
  <si>
    <t>Principle of Microecomics N.Gregory Mankiws</t>
  </si>
  <si>
    <t>Camping Kit</t>
  </si>
  <si>
    <t>Kitchen toolset</t>
  </si>
  <si>
    <t>One plus 11R</t>
  </si>
  <si>
    <t>Redmi Note 5</t>
  </si>
  <si>
    <t>Ubon Airpodes</t>
  </si>
  <si>
    <t>Ubon wired earphones</t>
  </si>
  <si>
    <t>Ubon Headbands</t>
  </si>
  <si>
    <t>Gaming keyboard</t>
  </si>
  <si>
    <t>Cartons Of screws and other accessories</t>
  </si>
  <si>
    <t>Lenovo Gaming PC</t>
  </si>
  <si>
    <t>Fancy Pencil Box kits</t>
  </si>
  <si>
    <t>Real Mixed fruit Juice cartons</t>
  </si>
  <si>
    <t>Dog Toys</t>
  </si>
  <si>
    <t>Redmi Note 3</t>
  </si>
  <si>
    <t>Redmi Note 1</t>
  </si>
  <si>
    <t>redmi Note 6</t>
  </si>
  <si>
    <t>redmi note 2</t>
  </si>
  <si>
    <t>PowerBank</t>
  </si>
  <si>
    <t>real apple Juice cartons</t>
  </si>
  <si>
    <t>Sujata Mixer Juicer grinder</t>
  </si>
  <si>
    <t>Prestige Pressure Cooker</t>
  </si>
  <si>
    <t>Prestige Frying Pan</t>
  </si>
  <si>
    <t>Apsara Pencil cartons</t>
  </si>
  <si>
    <t>Lion Antique Copper Statues</t>
  </si>
  <si>
    <t>Camlin Oil Pastel Cartons</t>
  </si>
  <si>
    <t>Alarm Clocks</t>
  </si>
  <si>
    <t>Digital Alarm clocks</t>
  </si>
  <si>
    <t>Kissan Mixedfruit Bread Jam</t>
  </si>
  <si>
    <t>Dell Gaming PC</t>
  </si>
  <si>
    <t>Kodak DSLR kit</t>
  </si>
  <si>
    <t>Crax Cartons</t>
  </si>
  <si>
    <t>Drawing and SketchBooks</t>
  </si>
  <si>
    <t>Asus Gaming PC</t>
  </si>
  <si>
    <t>Iphone 10 pro max</t>
  </si>
  <si>
    <t xml:space="preserve">Iphone 10 pro </t>
  </si>
  <si>
    <t>iphone 8 pro</t>
  </si>
  <si>
    <t>iphone 8 pro max</t>
  </si>
  <si>
    <t>iphone 7</t>
  </si>
  <si>
    <t>Screw Drivers</t>
  </si>
  <si>
    <t>Pliers</t>
  </si>
  <si>
    <t>Peacock Statue</t>
  </si>
  <si>
    <t>Cat statue Showpiece</t>
  </si>
  <si>
    <t>Cosco professional Cricket kit</t>
  </si>
  <si>
    <t>Toor Daal 5 kgs pkt</t>
  </si>
  <si>
    <t>Arhar Daal 4 kgs pkt</t>
  </si>
  <si>
    <t>Sword showpiece collections</t>
  </si>
  <si>
    <t>Jagannath temple Paintings</t>
  </si>
  <si>
    <t>Lenovo Headbands</t>
  </si>
  <si>
    <t>Samsung Airpods</t>
  </si>
  <si>
    <t>Penholder</t>
  </si>
  <si>
    <t>Noisefit smartwatch buy 2 get one free</t>
  </si>
  <si>
    <t xml:space="preserve">Boult Airpods </t>
  </si>
  <si>
    <t>Camlin Brushpens set</t>
  </si>
  <si>
    <t>LG Smart LED TV</t>
  </si>
  <si>
    <t>Redmi Smart LED TV</t>
  </si>
  <si>
    <t>One plus Nord 6</t>
  </si>
  <si>
    <t>HP Victus Gaming Laptop</t>
  </si>
  <si>
    <t>Samsung Galaxy M56 smartphone</t>
  </si>
  <si>
    <t>Acer Gaming Laptop</t>
  </si>
  <si>
    <t>Iphone 11 pro max</t>
  </si>
  <si>
    <t>Sony New Alpha DSLR</t>
  </si>
  <si>
    <t>Nikon D7500 DSLR</t>
  </si>
  <si>
    <t>Canon EOS R100 DSLR</t>
  </si>
  <si>
    <t>Apple Iphone AIR 13pro max</t>
  </si>
  <si>
    <t>Lava Agni 4 5g</t>
  </si>
  <si>
    <t>Lava Agni 3 5g</t>
  </si>
  <si>
    <t>Poco C85x 5g Smartphone</t>
  </si>
  <si>
    <t>Redmi A7 pro 5g</t>
  </si>
  <si>
    <t>Realme Narzo 80 Lite 5G</t>
  </si>
  <si>
    <t>Lava Blaze Duo 3 5g</t>
  </si>
  <si>
    <t>IQOO Z10 Lite 5G</t>
  </si>
  <si>
    <t xml:space="preserve">One Plus N6 </t>
  </si>
  <si>
    <t>Haier 9kg Oceanus Fully Automatic top load washing machine</t>
  </si>
  <si>
    <t>AO Smith Geyser 15ltrs</t>
  </si>
  <si>
    <t>Voltas 1.5 ton 3 star Air Conditioner</t>
  </si>
  <si>
    <t>Crompton geyser 15ltrs</t>
  </si>
  <si>
    <t>LG 2.5 Ton 5 star AC</t>
  </si>
  <si>
    <t>AMO Electric Scooter</t>
  </si>
  <si>
    <t>Diesel Mr daddy 2.0 Men's watches</t>
  </si>
  <si>
    <t>Diesel Mr daddy 2.0 stainless steel Men's watches</t>
  </si>
  <si>
    <t>Tommy hilfiger Men's watches</t>
  </si>
  <si>
    <t>Olev's Men's watches</t>
  </si>
  <si>
    <t xml:space="preserve">Noisefit smartwatch </t>
  </si>
  <si>
    <t>Victorinox Automatic swiss made watches</t>
  </si>
  <si>
    <t>Oneplus Nord 6 smartphone</t>
  </si>
  <si>
    <t>Kodak Selfie stick</t>
  </si>
  <si>
    <t>Hero12 Waterproof GoPro</t>
  </si>
  <si>
    <t>Hero13 Waterproof GoPro</t>
  </si>
  <si>
    <t>hero12 Waterproof GoPro special Bundle</t>
  </si>
  <si>
    <t>GoPro MAX2 true 8k waterproof</t>
  </si>
  <si>
    <t>Owl Showpiece Statues</t>
  </si>
  <si>
    <t>Peacock Showpiece Statue</t>
  </si>
  <si>
    <t>Persian Carpet Red and White</t>
  </si>
  <si>
    <t>Persian Carpet blue and White</t>
  </si>
  <si>
    <t>Gold Necklace Kalyan Jewlers</t>
  </si>
  <si>
    <t>Ivory Showpiece</t>
  </si>
  <si>
    <t>Behoma Pure Brass Kalpvriksh Tree with Birds statue</t>
  </si>
  <si>
    <t>Sliver Plated Rearing Horse Statue</t>
  </si>
  <si>
    <t xml:space="preserve">Gold plated rearing Horse Statue </t>
  </si>
  <si>
    <t>Platinum Plated 7 rearing Horse Statue</t>
  </si>
  <si>
    <t>Gold Plated 7 rearing Horse Statue</t>
  </si>
  <si>
    <t>Gold Plated 2 rearing Horse Statue</t>
  </si>
  <si>
    <t>Silver Plated 2 Rearing Horse Statue</t>
  </si>
  <si>
    <t>Pure Silver Plated Kamdhenu Cow statue</t>
  </si>
  <si>
    <t>Pure Silver Plated Kamdhenu Cow and calf statue</t>
  </si>
  <si>
    <t>Pure Platinum Plated Kamdhenu Cow statue</t>
  </si>
  <si>
    <t>Pure Platinum Plated Kamdhenu Cow and calf  statue</t>
  </si>
  <si>
    <t>Pure Platinum 4 Rearing Horses Statues</t>
  </si>
  <si>
    <t>Pure Gold 2 Rearing Horses Statues</t>
  </si>
  <si>
    <t>Pure Gold 3 Rearing Horses Statues</t>
  </si>
  <si>
    <t>Pure Gold 4 Rearing Horses Statues</t>
  </si>
  <si>
    <t>Pure Gold 5  Rearing Horses Statues</t>
  </si>
  <si>
    <t>Pure Gold 5 Rearing Horses Statues</t>
  </si>
  <si>
    <t>Pure Gold 6 Rearing Horses Statues</t>
  </si>
  <si>
    <t>Pure Gold  Rearing Horse Statues</t>
  </si>
  <si>
    <t>Pure Silver 4 Rearing Horses Statues</t>
  </si>
  <si>
    <t>Pure Silver 2 rearing Horses Statues</t>
  </si>
  <si>
    <t>Quartz Sculpture</t>
  </si>
  <si>
    <t>Brass Lord Buddha Statue</t>
  </si>
  <si>
    <t>Gold Lord Buddha Statue</t>
  </si>
  <si>
    <t>Sliver Lord Buddha Statue</t>
  </si>
  <si>
    <t>Platinum Lord Buddha Statue</t>
  </si>
  <si>
    <t>Black Adiyogi Mahadeva Statue</t>
  </si>
  <si>
    <t>Pure Brass Natarajan Statue</t>
  </si>
  <si>
    <t xml:space="preserve">Pure Platinum Natarajan Statue </t>
  </si>
  <si>
    <t>Cricket kit MRF</t>
  </si>
  <si>
    <t>Macbook</t>
  </si>
  <si>
    <t>Aarav Mehta</t>
  </si>
  <si>
    <t>Aditi Patel</t>
  </si>
  <si>
    <t>Ananya Khanna</t>
  </si>
  <si>
    <t>Aditya Kulkarni</t>
  </si>
  <si>
    <t>Ishita Yadav</t>
  </si>
  <si>
    <t>Kabir Mathur</t>
  </si>
  <si>
    <t>Meera Gupta</t>
  </si>
  <si>
    <t>Rohan Iyer</t>
  </si>
  <si>
    <t>Priya Mishra</t>
  </si>
  <si>
    <t>Rahul Pandey</t>
  </si>
  <si>
    <t>Sneha Srivastava</t>
  </si>
  <si>
    <t>Vihaan Dutta</t>
  </si>
  <si>
    <t>Diya Sood</t>
  </si>
  <si>
    <t>Karan Verma</t>
  </si>
  <si>
    <t>Neha Agarwal</t>
  </si>
  <si>
    <t>Aryan Saxena</t>
  </si>
  <si>
    <t>Kavya Tiwari</t>
  </si>
  <si>
    <t>Yash Sinha</t>
  </si>
  <si>
    <t>Riya Banerjee</t>
  </si>
  <si>
    <t>Dev Vohra</t>
  </si>
  <si>
    <t>Nisha Sharma</t>
  </si>
  <si>
    <t>Siddharth Bansal</t>
  </si>
  <si>
    <t>Pooja Chopra</t>
  </si>
  <si>
    <t>Varun Sethi</t>
  </si>
  <si>
    <t>Simran Jain</t>
  </si>
  <si>
    <t>Aniket Mukherjee</t>
  </si>
  <si>
    <t>Tanvi Dubey</t>
  </si>
  <si>
    <t>Manav Naidu</t>
  </si>
  <si>
    <t>Shreya Malhotra</t>
  </si>
  <si>
    <t>Vivaan Joshi</t>
  </si>
  <si>
    <t>Avni Chawla</t>
  </si>
  <si>
    <t>Reyansh Goyal</t>
  </si>
  <si>
    <t>Myra Pillai</t>
  </si>
  <si>
    <t>Krish Tripathi</t>
  </si>
  <si>
    <t>Kiara Bhatt</t>
  </si>
  <si>
    <t>Atharv Kapoor</t>
  </si>
  <si>
    <t>Anika Nair</t>
  </si>
  <si>
    <t>Dhruv Rao</t>
  </si>
  <si>
    <t>Saanvi Bhatia</t>
  </si>
  <si>
    <t>Rudra Menon</t>
  </si>
  <si>
    <t>Navya Shukla</t>
  </si>
  <si>
    <t>Ayush Ahuja</t>
  </si>
  <si>
    <t>Tanya Singh</t>
  </si>
  <si>
    <t>Arnav Reddy</t>
  </si>
  <si>
    <t>Ira Das</t>
  </si>
  <si>
    <t>Shaurya Arora</t>
  </si>
  <si>
    <t>Mahi Desai</t>
  </si>
  <si>
    <t>Parth Thakur</t>
  </si>
  <si>
    <t>Aanya Kohli</t>
  </si>
  <si>
    <t>Aarav Singh</t>
  </si>
  <si>
    <t>Aditi Reddy</t>
  </si>
  <si>
    <t>Arjun Das</t>
  </si>
  <si>
    <t>Ananya Arora</t>
  </si>
  <si>
    <t>Aditya Desai</t>
  </si>
  <si>
    <t>Ishita Thakur</t>
  </si>
  <si>
    <t>Kabir Kohli</t>
  </si>
  <si>
    <t>Meera Mehta</t>
  </si>
  <si>
    <t>Rohan Patel</t>
  </si>
  <si>
    <t>Priya Khan</t>
  </si>
  <si>
    <t>Rahul Khanna</t>
  </si>
  <si>
    <t>Sneha Kulkarni</t>
  </si>
  <si>
    <t>Vihaan Yadav</t>
  </si>
  <si>
    <t>Diya Mathur</t>
  </si>
  <si>
    <t>Karan Gupta</t>
  </si>
  <si>
    <t>Neha Iyer</t>
  </si>
  <si>
    <t>Aryan Mishra</t>
  </si>
  <si>
    <t>Kavya Pandey</t>
  </si>
  <si>
    <t>Yash Srivastava</t>
  </si>
  <si>
    <t>Riya Dutta</t>
  </si>
  <si>
    <t>Dev Sood</t>
  </si>
  <si>
    <t>Nisha Verma</t>
  </si>
  <si>
    <t>Siddharth Agarwal</t>
  </si>
  <si>
    <t>Pooja Saxena</t>
  </si>
  <si>
    <t>Varun Tiwari</t>
  </si>
  <si>
    <t>Simran Sinha</t>
  </si>
  <si>
    <t>Aniket Banerjee</t>
  </si>
  <si>
    <t>Tanvi Vohra</t>
  </si>
  <si>
    <t>Manav Sharma</t>
  </si>
  <si>
    <t>Shreya Bansal</t>
  </si>
  <si>
    <t>Vivaan Chopra</t>
  </si>
  <si>
    <t>Avni Sethi</t>
  </si>
  <si>
    <t>Reyansh Jain</t>
  </si>
  <si>
    <t>Myra Mukherjee</t>
  </si>
  <si>
    <t>Krish Dubey</t>
  </si>
  <si>
    <t>Kiara Naidu</t>
  </si>
  <si>
    <t>Atharv Malhotra</t>
  </si>
  <si>
    <t>Anika Joshi</t>
  </si>
  <si>
    <t>Dhruv Chawla</t>
  </si>
  <si>
    <t>Saanvi Goyal</t>
  </si>
  <si>
    <t>Rudra Pillai</t>
  </si>
  <si>
    <t>Navya Tripathi</t>
  </si>
  <si>
    <t>Ayush Bhatt</t>
  </si>
  <si>
    <t>Tanya Kapoor</t>
  </si>
  <si>
    <t>Arnav Nair</t>
  </si>
  <si>
    <t>Ira Rao</t>
  </si>
  <si>
    <t>Shaurya Bhatia</t>
  </si>
  <si>
    <t>Mahi Menon</t>
  </si>
  <si>
    <t>Parth Shukla</t>
  </si>
  <si>
    <t>Aanya Ahuja</t>
  </si>
  <si>
    <t>Aarav Kapoor</t>
  </si>
  <si>
    <t>Aditi Nair</t>
  </si>
  <si>
    <t>Arjun Rao</t>
  </si>
  <si>
    <t>Ananya Bhatia</t>
  </si>
  <si>
    <t>Aditya Menon</t>
  </si>
  <si>
    <t>Ishita Shukla</t>
  </si>
  <si>
    <t>Kabir Ahuja</t>
  </si>
  <si>
    <t>Meera Singh</t>
  </si>
  <si>
    <t>Rohan Reddy</t>
  </si>
  <si>
    <t>Priya Das</t>
  </si>
  <si>
    <t>Rahul Arora</t>
  </si>
  <si>
    <t>Sneha Desai</t>
  </si>
  <si>
    <t>Vihaan Thakur</t>
  </si>
  <si>
    <t>Diya Kohli</t>
  </si>
  <si>
    <t>Karan Mehta</t>
  </si>
  <si>
    <t>Neha Patel</t>
  </si>
  <si>
    <t>Aryan Khan</t>
  </si>
  <si>
    <t>Kavya Khanna</t>
  </si>
  <si>
    <t>Yash Kulkarni</t>
  </si>
  <si>
    <t>Riya Yadav</t>
  </si>
  <si>
    <t>Dev Mathur</t>
  </si>
  <si>
    <t>Nisha Gupta</t>
  </si>
  <si>
    <t>Siddharth Iyer</t>
  </si>
  <si>
    <t>Pooja Mishra</t>
  </si>
  <si>
    <t>Varun Pandey</t>
  </si>
  <si>
    <t>Simran Srivastava</t>
  </si>
  <si>
    <t>Aniket Dutta</t>
  </si>
  <si>
    <t>Tanvi Sood</t>
  </si>
  <si>
    <t>Manav Verma</t>
  </si>
  <si>
    <t>Shreya Agarwal</t>
  </si>
  <si>
    <t>Vivaan Saxena</t>
  </si>
  <si>
    <t>Avni Tiwari</t>
  </si>
  <si>
    <t>Reyansh Sinha</t>
  </si>
  <si>
    <t>Myra Banerjee</t>
  </si>
  <si>
    <t>Krish Vohra</t>
  </si>
  <si>
    <t>Kiara Sharma</t>
  </si>
  <si>
    <t>Atharv Bansal</t>
  </si>
  <si>
    <t>Anika Chopra</t>
  </si>
  <si>
    <t>Dhruv Sethi</t>
  </si>
  <si>
    <t>Saanvi Jain</t>
  </si>
  <si>
    <t>Rudra Mukherjee</t>
  </si>
  <si>
    <t>Navya Dubey</t>
  </si>
  <si>
    <t>Ayush Naidu</t>
  </si>
  <si>
    <t>Tanya Malhotra</t>
  </si>
  <si>
    <t>Arnav Joshi</t>
  </si>
  <si>
    <t>Ira Chawla</t>
  </si>
  <si>
    <t>Shaurya Goyal</t>
  </si>
  <si>
    <t>Mahi Pillai</t>
  </si>
  <si>
    <t>Parth Tripathi</t>
  </si>
  <si>
    <t>Aanya Bhatt</t>
  </si>
  <si>
    <t>Aarav Malhotra</t>
  </si>
  <si>
    <t>Aditi Joshi</t>
  </si>
  <si>
    <t>Arjun Chawla</t>
  </si>
  <si>
    <t>Ananya Goyal</t>
  </si>
  <si>
    <t>Aditya Pillai</t>
  </si>
  <si>
    <t>Kabir Bhatt</t>
  </si>
  <si>
    <t>Meera Kapoor</t>
  </si>
  <si>
    <t>Rohan Nair</t>
  </si>
  <si>
    <t>Priya Rao</t>
  </si>
  <si>
    <t>Rahul Bhatia</t>
  </si>
  <si>
    <t>Sneha Menon</t>
  </si>
  <si>
    <t>Vihaan Shukla</t>
  </si>
  <si>
    <t>Diya Ahuja</t>
  </si>
  <si>
    <t>Karan Singh</t>
  </si>
  <si>
    <t>Neha Reddy</t>
  </si>
  <si>
    <t>Aryan Das</t>
  </si>
  <si>
    <t>Kavya Arora</t>
  </si>
  <si>
    <t>Yash Desai</t>
  </si>
  <si>
    <t>Riya Thakur</t>
  </si>
  <si>
    <t>Dev Kohli</t>
  </si>
  <si>
    <t>Siddharth Patel</t>
  </si>
  <si>
    <t>Varun Khanna</t>
  </si>
  <si>
    <t>Simran Kulkarni</t>
  </si>
  <si>
    <t>Aniket Yadav</t>
  </si>
  <si>
    <t>Tanvi Mathur</t>
  </si>
  <si>
    <t>Manav Gupta</t>
  </si>
  <si>
    <t>Shreya Iyer</t>
  </si>
  <si>
    <t>Vivaan Mishra</t>
  </si>
  <si>
    <t>Avni Pandey</t>
  </si>
  <si>
    <t>Reyansh Srivastava</t>
  </si>
  <si>
    <t>Myra Dutta</t>
  </si>
  <si>
    <t>Krish Sood</t>
  </si>
  <si>
    <t>Kiara Verma</t>
  </si>
  <si>
    <t>Atharv Agarwal</t>
  </si>
  <si>
    <t>Anika Saxena</t>
  </si>
  <si>
    <t>Dhruv Tiwari</t>
  </si>
  <si>
    <t>Saanvi Sinha</t>
  </si>
  <si>
    <t>Rudra Banerjee</t>
  </si>
  <si>
    <t>Navya Vohra</t>
  </si>
  <si>
    <t>Ayush Sharma</t>
  </si>
  <si>
    <t>Tanya Bansal</t>
  </si>
  <si>
    <t>Arnav Chopra</t>
  </si>
  <si>
    <t>Ira Sethi</t>
  </si>
  <si>
    <t>Shaurya Jain</t>
  </si>
  <si>
    <t>Mahi Mukherjee</t>
  </si>
  <si>
    <t>Parth Dubey</t>
  </si>
  <si>
    <t>Aanya Naidu</t>
  </si>
  <si>
    <t>type of Product</t>
  </si>
  <si>
    <t>Cosmetics</t>
  </si>
  <si>
    <t>Confectionaries</t>
  </si>
  <si>
    <t>Electronics</t>
  </si>
  <si>
    <t>Books &amp; Stationeries</t>
  </si>
  <si>
    <t>Toys</t>
  </si>
  <si>
    <t>Dry Fruits</t>
  </si>
  <si>
    <t>Home and kitchen</t>
  </si>
  <si>
    <t>Art and collections</t>
  </si>
  <si>
    <t>Apparel Merchandises</t>
  </si>
  <si>
    <t>Apparel</t>
  </si>
  <si>
    <t>Automotive</t>
  </si>
  <si>
    <t>Hardware</t>
  </si>
  <si>
    <t>Sports &amp; Fitness</t>
  </si>
  <si>
    <t>Furniture</t>
  </si>
  <si>
    <t>Health &amp; Beauty</t>
  </si>
  <si>
    <t>Milton Thermo Flask Water bottles cartons</t>
  </si>
  <si>
    <t>Drinkware</t>
  </si>
  <si>
    <t>7up cold drink cartons</t>
  </si>
  <si>
    <t>Pet Supplies</t>
  </si>
  <si>
    <t>Beverages</t>
  </si>
  <si>
    <t xml:space="preserve">Home and Lifestyle </t>
  </si>
  <si>
    <t>Food and Beverages</t>
  </si>
  <si>
    <t>Home &amp; décor</t>
  </si>
  <si>
    <t>Fashion &amp; Acessories</t>
  </si>
  <si>
    <t>Jewelry</t>
  </si>
  <si>
    <t>automotive</t>
  </si>
  <si>
    <t>Samsung Refrigerator</t>
  </si>
  <si>
    <t>LG Refrigerator</t>
  </si>
  <si>
    <t>Voltas Refrigerator</t>
  </si>
  <si>
    <t>Tredmills</t>
  </si>
  <si>
    <t>Premium Alloy Wheel set</t>
  </si>
  <si>
    <t>Samsung Luxury Home theater system</t>
  </si>
  <si>
    <t>Ahmedabad</t>
  </si>
  <si>
    <t>Agartala</t>
  </si>
  <si>
    <t>Agra</t>
  </si>
  <si>
    <t>Aizawl</t>
  </si>
  <si>
    <t>Arjun Khanna</t>
  </si>
  <si>
    <t>Ajmer</t>
  </si>
  <si>
    <t xml:space="preserve">Aligarh </t>
  </si>
  <si>
    <t>Amravati</t>
  </si>
  <si>
    <t>Amritsar</t>
  </si>
  <si>
    <t>Aurangabad</t>
  </si>
  <si>
    <t>Bangalore</t>
  </si>
  <si>
    <t>Bareilly</t>
  </si>
  <si>
    <t>Chandigarh</t>
  </si>
  <si>
    <t>Chennai</t>
  </si>
  <si>
    <t>Coimbatore</t>
  </si>
  <si>
    <t>Dehradun</t>
  </si>
  <si>
    <t>Dharamshala</t>
  </si>
  <si>
    <t>Faridabad</t>
  </si>
  <si>
    <t>Kanpur</t>
  </si>
  <si>
    <t>Gurugram</t>
  </si>
  <si>
    <t>Kolkata</t>
  </si>
  <si>
    <t>Rohtak</t>
  </si>
  <si>
    <t>Jind</t>
  </si>
  <si>
    <t>Delhi</t>
  </si>
  <si>
    <t>Kochi</t>
  </si>
  <si>
    <t>Lavasa</t>
  </si>
  <si>
    <t>Ludhiana</t>
  </si>
  <si>
    <t>Noida</t>
  </si>
  <si>
    <t>Meerut</t>
  </si>
  <si>
    <t>Patna</t>
  </si>
  <si>
    <t>Mumbai</t>
  </si>
  <si>
    <t>Ghaziabad</t>
  </si>
  <si>
    <t>Pune</t>
  </si>
  <si>
    <t>Jammu</t>
  </si>
  <si>
    <t>Karnal</t>
  </si>
  <si>
    <t>Jaipur</t>
  </si>
  <si>
    <t>kochi</t>
  </si>
  <si>
    <t>pune</t>
  </si>
  <si>
    <t>ghaziabad</t>
  </si>
  <si>
    <t>faridabad</t>
  </si>
  <si>
    <t>Surat</t>
  </si>
  <si>
    <t>Varanasi</t>
  </si>
  <si>
    <t>Vishakhapatnam</t>
  </si>
  <si>
    <t>Ayodhya</t>
  </si>
  <si>
    <t>Vizag</t>
  </si>
  <si>
    <t>Kannauj</t>
  </si>
  <si>
    <t>Sonipat</t>
  </si>
  <si>
    <t>Panipat</t>
  </si>
  <si>
    <t>Baghpat</t>
  </si>
  <si>
    <t>Srinagar</t>
  </si>
  <si>
    <t>Gorakhpur</t>
  </si>
  <si>
    <t>Lucknow</t>
  </si>
  <si>
    <t>Pooja Khanna</t>
  </si>
  <si>
    <t>Vadodra</t>
  </si>
  <si>
    <t>Nangloi</t>
  </si>
  <si>
    <t>Hampi</t>
  </si>
  <si>
    <t>Uttar Pradesh</t>
  </si>
  <si>
    <t>Gujrat</t>
  </si>
  <si>
    <t>Rajasthan</t>
  </si>
  <si>
    <t>Andhra Pradesh</t>
  </si>
  <si>
    <t>Punjab</t>
  </si>
  <si>
    <t>Maharashtra</t>
  </si>
  <si>
    <t>Karnataka</t>
  </si>
  <si>
    <t>Tamil Nadu</t>
  </si>
  <si>
    <t>Uttarakhand</t>
  </si>
  <si>
    <t>Himachal Pradesh</t>
  </si>
  <si>
    <t>Haryana</t>
  </si>
  <si>
    <t>West Bengal</t>
  </si>
  <si>
    <t>Kerala</t>
  </si>
  <si>
    <t>Bihar</t>
  </si>
  <si>
    <t>Jammu &amp; Kashmir</t>
  </si>
  <si>
    <t>Nashik</t>
  </si>
  <si>
    <t>Tripura</t>
  </si>
  <si>
    <t>Mizoram</t>
  </si>
  <si>
    <t>Ishita Dagar</t>
  </si>
  <si>
    <t>Nishant Nagar</t>
  </si>
  <si>
    <t>Row Labels</t>
  </si>
  <si>
    <t>Sum of Unit_Price</t>
  </si>
  <si>
    <t>Grand Total</t>
  </si>
  <si>
    <t>Methods Of Payment</t>
  </si>
  <si>
    <t>Count of orders</t>
  </si>
  <si>
    <t>Column1</t>
  </si>
  <si>
    <t>Sum of Total amount</t>
  </si>
  <si>
    <t>Senior Citizen</t>
  </si>
  <si>
    <t>student</t>
  </si>
  <si>
    <t>working adults</t>
  </si>
  <si>
    <t>Count of Customer ID</t>
  </si>
  <si>
    <t>Count of Quantity</t>
  </si>
  <si>
    <t>No of orders</t>
  </si>
  <si>
    <t>Order Status</t>
  </si>
  <si>
    <t>Type Of Products</t>
  </si>
  <si>
    <t>Sum of Net Sales</t>
  </si>
  <si>
    <t>Sum of Surplus</t>
  </si>
  <si>
    <t>Industrial</t>
  </si>
  <si>
    <t>Large</t>
  </si>
  <si>
    <t>Medium</t>
  </si>
  <si>
    <t>Micro</t>
  </si>
  <si>
    <t>Small</t>
  </si>
  <si>
    <t>Wholesale</t>
  </si>
  <si>
    <t>home &amp; décor</t>
  </si>
  <si>
    <t>E-COMMERCE SALES ANALYTICS FOR MONTH OF JANUARY FOR VyaaparX STARTUP COMPANY</t>
  </si>
  <si>
    <t>Average order Value</t>
  </si>
  <si>
    <t>Key Business Questions</t>
  </si>
  <si>
    <t>Most popular product</t>
  </si>
  <si>
    <t>which product category generated the highest sales</t>
  </si>
  <si>
    <t xml:space="preserve">Which customers generated the highest revenue? </t>
  </si>
  <si>
    <t>what was the average order value</t>
  </si>
  <si>
    <t>Which payment method was most preferred</t>
  </si>
  <si>
    <t>What were the monthly sales ?</t>
  </si>
  <si>
    <t>Which product category generated the highest sales revenue</t>
  </si>
  <si>
    <t>Which product category had the highest profit</t>
  </si>
  <si>
    <t>refer to powerpoint presentation</t>
  </si>
  <si>
    <t>Which city/state generated the highest sales</t>
  </si>
  <si>
    <t>Answers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</si>
</sst>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quot;$&quot;#,##0.00"/>
    <numFmt numFmtId="165" formatCode="_ [$₹-4009]\ * #,##0.00_ ;_ [$₹-4009]\ * \-#,##0.00_ ;_ [$₹-4009]\ * &quot;-&quot;??_ ;_ @_ "/>
    <numFmt numFmtId="166" formatCode="[$₹-4009]\ #,##0.00"/>
  </numFmts>
  <fonts count="7" x14ac:knownFonts="1">
    <font>
      <sz val="11"/>
      <color theme="1"/>
      <name val="Calibri"/>
      <family val="2"/>
      <scheme val="minor"/>
    </font>
    <font>
      <sz val="8"/>
      <name val="Calibri"/>
      <family val="2"/>
      <scheme val="minor"/>
    </font>
    <font>
      <sz val="24"/>
      <color theme="1"/>
      <name val="Calibri"/>
      <family val="2"/>
      <scheme val="minor"/>
    </font>
    <font>
      <sz val="11"/>
      <color theme="1"/>
      <name val="Calibri"/>
      <family val="2"/>
      <scheme val="minor"/>
    </font>
    <font>
      <sz val="11"/>
      <color rgb="FF000000"/>
      <name val="Calibri"/>
      <family val="2"/>
      <scheme val="minor"/>
    </font>
    <font>
      <sz val="28"/>
      <color theme="1"/>
      <name val="Calibri"/>
      <family val="2"/>
      <scheme val="minor"/>
    </font>
    <font>
      <shadow/>
      <sz val="1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3" fillId="0" borderId="0" applyFont="0" applyFill="0" applyBorder="0" applyAlignment="0" applyProtection="0"/>
  </cellStyleXfs>
  <cellXfs count="17">
    <xf numFmtId="0" fontId="0" fillId="0" borderId="0" xfId="0"/>
    <xf numFmtId="15" fontId="0" fillId="0" borderId="0" xfId="0" applyNumberFormat="1"/>
    <xf numFmtId="9" fontId="0" fillId="0" borderId="0" xfId="0" applyNumberFormat="1"/>
    <xf numFmtId="10" fontId="0" fillId="0" borderId="0" xfId="0" applyNumberFormat="1"/>
    <xf numFmtId="164" fontId="0" fillId="0" borderId="0" xfId="0" applyNumberFormat="1"/>
    <xf numFmtId="165" fontId="0" fillId="0" borderId="0" xfId="1" applyNumberFormat="1" applyFont="1"/>
    <xf numFmtId="165" fontId="0" fillId="0" borderId="0" xfId="0" applyNumberFormat="1"/>
    <xf numFmtId="0" fontId="4" fillId="0" borderId="0" xfId="0" applyFon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166" fontId="0" fillId="0" borderId="0" xfId="0" applyNumberFormat="1"/>
    <xf numFmtId="0" fontId="5" fillId="0" borderId="0" xfId="0" applyFont="1" applyAlignment="1">
      <alignment horizontal="center"/>
    </xf>
    <xf numFmtId="0" fontId="6" fillId="0" borderId="0" xfId="0" applyFont="1" applyAlignment="1">
      <alignment horizontal="left" vertical="center" indent="2" readingOrder="1"/>
    </xf>
    <xf numFmtId="0" fontId="6" fillId="0" borderId="0" xfId="0" applyFont="1"/>
    <xf numFmtId="0" fontId="2" fillId="0" borderId="0" xfId="0" applyFont="1" applyAlignment="1">
      <alignment horizontal="center"/>
    </xf>
  </cellXfs>
  <cellStyles count="2">
    <cellStyle name="Currency" xfId="1" builtinId="4"/>
    <cellStyle name="Normal" xfId="0" builtinId="0"/>
  </cellStyles>
  <dxfs count="31">
    <dxf>
      <numFmt numFmtId="165" formatCode="_ [$₹-4009]\ * #,##0.00_ ;_ [$₹-4009]\ * \-#,##0.00_ ;_ [$₹-4009]\ * &quot;-&quot;??_ ;_ @_ "/>
    </dxf>
    <dxf>
      <numFmt numFmtId="0" formatCode="General"/>
    </dxf>
    <dxf>
      <font>
        <b val="0"/>
        <i val="0"/>
        <strike val="0"/>
        <condense val="0"/>
        <extend val="0"/>
        <outline val="0"/>
        <shadow val="0"/>
        <u val="none"/>
        <vertAlign val="baseline"/>
        <sz val="11"/>
        <color rgb="FF000000"/>
        <name val="Calibri"/>
        <family val="2"/>
        <scheme val="minor"/>
      </font>
    </dxf>
    <dxf>
      <numFmt numFmtId="165" formatCode="_ [$₹-4009]\ * #,##0.00_ ;_ [$₹-4009]\ * \-#,##0.00_ ;_ [$₹-4009]\ * &quot;-&quot;??_ ;_ @_ "/>
    </dxf>
    <dxf>
      <font>
        <b val="0"/>
        <i val="0"/>
        <strike val="0"/>
        <condense val="0"/>
        <extend val="0"/>
        <outline val="0"/>
        <shadow val="0"/>
        <u val="none"/>
        <vertAlign val="baseline"/>
        <sz val="28"/>
        <color theme="1"/>
        <name val="Calibri"/>
        <family val="2"/>
        <scheme val="minor"/>
      </font>
      <alignment horizontal="center" vertical="bottom" textRotation="0" wrapText="0" indent="0" justifyLastLine="0" shrinkToFit="0" readingOrder="0"/>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4" formatCode="&quot;$&quot;#,##0.00"/>
    </dxf>
    <dxf>
      <numFmt numFmtId="164" formatCode="&quot;$&quot;#,##0.00"/>
    </dxf>
    <dxf>
      <numFmt numFmtId="164" formatCode="&quot;$&quot;#,##0.00"/>
    </dxf>
    <dxf>
      <numFmt numFmtId="164" formatCode="&quot;$&quot;#,##0.00"/>
    </dxf>
    <dxf>
      <numFmt numFmtId="164" formatCode="&quot;$&quot;#,##0.00"/>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3" formatCode="0%"/>
    </dxf>
    <dxf>
      <numFmt numFmtId="13" formatCode="0%"/>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20" formatCode="d\-mmm\-yy"/>
    </dxf>
    <dxf>
      <numFmt numFmtId="20" formatCode="d\-m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4.xml"/><Relationship Id="rId26" Type="http://schemas.microsoft.com/office/2007/relationships/slicerCache" Target="slicerCaches/slicerCache1.xml"/><Relationship Id="rId21" Type="http://schemas.openxmlformats.org/officeDocument/2006/relationships/pivotCacheDefinition" Target="pivotCache/pivotCacheDefinition7.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5" Type="http://schemas.openxmlformats.org/officeDocument/2006/relationships/pivotCacheDefinition" Target="pivotCache/pivotCacheDefinition11.xml"/><Relationship Id="rId33" Type="http://schemas.microsoft.com/office/2007/relationships/slicerCache" Target="slicerCaches/slicerCache8.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pivotCacheDefinition" Target="pivotCache/pivotCacheDefinition6.xml"/><Relationship Id="rId29" Type="http://schemas.microsoft.com/office/2007/relationships/slicerCache" Target="slicerCaches/slicerCache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10.xml"/><Relationship Id="rId32" Type="http://schemas.microsoft.com/office/2007/relationships/slicerCache" Target="slicerCaches/slicerCache7.xml"/><Relationship Id="rId37"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pivotCacheDefinition" Target="pivotCache/pivotCacheDefinition9.xml"/><Relationship Id="rId28" Type="http://schemas.microsoft.com/office/2007/relationships/slicerCache" Target="slicerCaches/slicerCache3.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pivotCacheDefinition" Target="pivotCache/pivotCacheDefinition5.xml"/><Relationship Id="rId31" Type="http://schemas.microsoft.com/office/2007/relationships/slicerCache" Target="slicerCaches/slicerCache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8.xml"/><Relationship Id="rId27" Type="http://schemas.microsoft.com/office/2007/relationships/slicerCache" Target="slicerCaches/slicerCache2.xml"/><Relationship Id="rId30" Type="http://schemas.microsoft.com/office/2007/relationships/slicerCache" Target="slicerCaches/slicerCache5.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[VyaaparX_Monthly_Sales_analysis.xlsx]monetary analysis !PivotTable2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s>
    <c:view3D>
      <c:rotX val="7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3005927384076996"/>
          <c:y val="0.21235892388451444"/>
          <c:w val="0.41147353455818025"/>
          <c:h val="0.68578922426363376"/>
        </c:manualLayout>
      </c:layout>
      <c:pie3DChart>
        <c:varyColors val="1"/>
        <c:ser>
          <c:idx val="0"/>
          <c:order val="0"/>
          <c:tx>
            <c:strRef>
              <c:f>'monetary analysis '!$B$3</c:f>
              <c:strCache>
                <c:ptCount val="1"/>
                <c:pt idx="0">
                  <c:v>Sum of Unit_Price</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7684-4D7F-BEF2-0C9F779A724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7684-4D7F-BEF2-0C9F779A7242}"/>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7684-4D7F-BEF2-0C9F779A7242}"/>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7684-4D7F-BEF2-0C9F779A7242}"/>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7684-4D7F-BEF2-0C9F779A7242}"/>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7684-4D7F-BEF2-0C9F779A7242}"/>
              </c:ext>
            </c:extLst>
          </c:dPt>
          <c:cat>
            <c:strRef>
              <c:f>'monetary analysis '!$A$4:$A$10</c:f>
              <c:strCache>
                <c:ptCount val="6"/>
                <c:pt idx="0">
                  <c:v>Buy Now Pay later</c:v>
                </c:pt>
                <c:pt idx="1">
                  <c:v>Cash on delivery</c:v>
                </c:pt>
                <c:pt idx="2">
                  <c:v>Credit Card</c:v>
                </c:pt>
                <c:pt idx="3">
                  <c:v>EMI </c:v>
                </c:pt>
                <c:pt idx="4">
                  <c:v>No Cost EMI</c:v>
                </c:pt>
                <c:pt idx="5">
                  <c:v>UPI</c:v>
                </c:pt>
              </c:strCache>
            </c:strRef>
          </c:cat>
          <c:val>
            <c:numRef>
              <c:f>'monetary analysis '!$B$4:$B$10</c:f>
              <c:numCache>
                <c:formatCode>_ [$₹-4009]\ * #,##0.00_ ;_ [$₹-4009]\ * \-#,##0.00_ ;_ [$₹-4009]\ * "-"??_ ;_ @_ </c:formatCode>
                <c:ptCount val="6"/>
                <c:pt idx="0">
                  <c:v>102025</c:v>
                </c:pt>
                <c:pt idx="1">
                  <c:v>74539</c:v>
                </c:pt>
                <c:pt idx="2">
                  <c:v>1382351</c:v>
                </c:pt>
                <c:pt idx="3">
                  <c:v>3720244</c:v>
                </c:pt>
                <c:pt idx="4">
                  <c:v>169000</c:v>
                </c:pt>
                <c:pt idx="5">
                  <c:v>27073</c:v>
                </c:pt>
              </c:numCache>
            </c:numRef>
          </c:val>
          <c:extLst>
            <c:ext xmlns:c16="http://schemas.microsoft.com/office/drawing/2014/chart" uri="{C3380CC4-5D6E-409C-BE32-E72D297353CC}">
              <c16:uniqueId val="{00000000-0A82-479C-A323-330B652AEE96}"/>
            </c:ext>
          </c:extLst>
        </c:ser>
        <c:ser>
          <c:idx val="1"/>
          <c:order val="1"/>
          <c:tx>
            <c:strRef>
              <c:f>'monetary analysis '!$C$3</c:f>
              <c:strCache>
                <c:ptCount val="1"/>
                <c:pt idx="0">
                  <c:v>Count of Quantity</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D-FDFA-4E38-ACF6-6BEB174855F9}"/>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F-FDFA-4E38-ACF6-6BEB174855F9}"/>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1-FDFA-4E38-ACF6-6BEB174855F9}"/>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3-FDFA-4E38-ACF6-6BEB174855F9}"/>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15-FDFA-4E38-ACF6-6BEB174855F9}"/>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17-FDFA-4E38-ACF6-6BEB174855F9}"/>
              </c:ext>
            </c:extLst>
          </c:dPt>
          <c:cat>
            <c:strRef>
              <c:f>'monetary analysis '!$A$4:$A$10</c:f>
              <c:strCache>
                <c:ptCount val="6"/>
                <c:pt idx="0">
                  <c:v>Buy Now Pay later</c:v>
                </c:pt>
                <c:pt idx="1">
                  <c:v>Cash on delivery</c:v>
                </c:pt>
                <c:pt idx="2">
                  <c:v>Credit Card</c:v>
                </c:pt>
                <c:pt idx="3">
                  <c:v>EMI </c:v>
                </c:pt>
                <c:pt idx="4">
                  <c:v>No Cost EMI</c:v>
                </c:pt>
                <c:pt idx="5">
                  <c:v>UPI</c:v>
                </c:pt>
              </c:strCache>
            </c:strRef>
          </c:cat>
          <c:val>
            <c:numRef>
              <c:f>'monetary analysis '!$C$4:$C$10</c:f>
              <c:numCache>
                <c:formatCode>General</c:formatCode>
                <c:ptCount val="6"/>
                <c:pt idx="0">
                  <c:v>8</c:v>
                </c:pt>
                <c:pt idx="1">
                  <c:v>27</c:v>
                </c:pt>
                <c:pt idx="2">
                  <c:v>67</c:v>
                </c:pt>
                <c:pt idx="3">
                  <c:v>74</c:v>
                </c:pt>
                <c:pt idx="4">
                  <c:v>7</c:v>
                </c:pt>
                <c:pt idx="5">
                  <c:v>17</c:v>
                </c:pt>
              </c:numCache>
            </c:numRef>
          </c:val>
          <c:extLst>
            <c:ext xmlns:c16="http://schemas.microsoft.com/office/drawing/2014/chart" uri="{C3380CC4-5D6E-409C-BE32-E72D297353CC}">
              <c16:uniqueId val="{0000000E-41EC-4136-8E05-A675BB252776}"/>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[VyaaparX_Monthly_Sales_analysis.xlsx]methods of payment!PivotTable5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'methods of payment'!$B$3</c:f>
              <c:strCache>
                <c:ptCount val="1"/>
                <c:pt idx="0">
                  <c:v>Total</c:v>
                </c:pt>
              </c:strCache>
            </c:strRef>
          </c:tx>
          <c:spPr>
            <a:solidFill>
              <a:schemeClr val="accent1"/>
            </a:solidFill>
            <a:ln>
              <a:noFill/>
            </a:ln>
            <a:effectLst/>
          </c:spPr>
          <c:invertIfNegative val="0"/>
          <c:cat>
            <c:strRef>
              <c:f>'methods of payment'!$A$4:$A$10</c:f>
              <c:strCache>
                <c:ptCount val="6"/>
                <c:pt idx="0">
                  <c:v>Buy Now Pay later</c:v>
                </c:pt>
                <c:pt idx="1">
                  <c:v>Cash on delivery</c:v>
                </c:pt>
                <c:pt idx="2">
                  <c:v>Credit Card</c:v>
                </c:pt>
                <c:pt idx="3">
                  <c:v>EMI </c:v>
                </c:pt>
                <c:pt idx="4">
                  <c:v>No Cost EMI</c:v>
                </c:pt>
                <c:pt idx="5">
                  <c:v>UPI</c:v>
                </c:pt>
              </c:strCache>
            </c:strRef>
          </c:cat>
          <c:val>
            <c:numRef>
              <c:f>'methods of payment'!$B$4:$B$10</c:f>
              <c:numCache>
                <c:formatCode>General</c:formatCode>
                <c:ptCount val="6"/>
                <c:pt idx="0">
                  <c:v>8</c:v>
                </c:pt>
                <c:pt idx="1">
                  <c:v>27</c:v>
                </c:pt>
                <c:pt idx="2">
                  <c:v>67</c:v>
                </c:pt>
                <c:pt idx="3">
                  <c:v>74</c:v>
                </c:pt>
                <c:pt idx="4">
                  <c:v>7</c:v>
                </c:pt>
                <c:pt idx="5">
                  <c:v>17</c:v>
                </c:pt>
              </c:numCache>
            </c:numRef>
          </c:val>
          <c:extLst>
            <c:ext xmlns:c16="http://schemas.microsoft.com/office/drawing/2014/chart" uri="{C3380CC4-5D6E-409C-BE32-E72D297353CC}">
              <c16:uniqueId val="{00000000-3E91-4892-BCA3-70E38A9445BB}"/>
            </c:ext>
          </c:extLst>
        </c:ser>
        <c:dLbls>
          <c:showLegendKey val="0"/>
          <c:showVal val="0"/>
          <c:showCatName val="0"/>
          <c:showSerName val="0"/>
          <c:showPercent val="0"/>
          <c:showBubbleSize val="0"/>
        </c:dLbls>
        <c:gapWidth val="182"/>
        <c:axId val="263617583"/>
        <c:axId val="263623823"/>
      </c:barChart>
      <c:catAx>
        <c:axId val="2636175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3623823"/>
        <c:crosses val="autoZero"/>
        <c:auto val="1"/>
        <c:lblAlgn val="ctr"/>
        <c:lblOffset val="100"/>
        <c:noMultiLvlLbl val="0"/>
      </c:catAx>
      <c:valAx>
        <c:axId val="2636238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3617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[VyaaparX_Monthly_Sales_analysis.xlsx]operational analysis of firm!PivotTable3</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'operational analysis of firm'!$B$3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EACC-4FAD-9ED9-D8177176D66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EACC-4FAD-9ED9-D8177176D660}"/>
              </c:ext>
            </c:extLst>
          </c:dPt>
          <c:cat>
            <c:strRef>
              <c:f>'operational analysis of firm'!$A$4:$A$6</c:f>
              <c:strCache>
                <c:ptCount val="2"/>
                <c:pt idx="0">
                  <c:v>Delivered</c:v>
                </c:pt>
                <c:pt idx="1">
                  <c:v>Pending</c:v>
                </c:pt>
              </c:strCache>
            </c:strRef>
          </c:cat>
          <c:val>
            <c:numRef>
              <c:f>'operational analysis of firm'!$B$4:$B$6</c:f>
              <c:numCache>
                <c:formatCode>General</c:formatCode>
                <c:ptCount val="2"/>
                <c:pt idx="0">
                  <c:v>61</c:v>
                </c:pt>
                <c:pt idx="1">
                  <c:v>139</c:v>
                </c:pt>
              </c:numCache>
            </c:numRef>
          </c:val>
          <c:extLst>
            <c:ext xmlns:c16="http://schemas.microsoft.com/office/drawing/2014/chart" uri="{C3380CC4-5D6E-409C-BE32-E72D297353CC}">
              <c16:uniqueId val="{00000000-6FE4-4C9C-A3D1-0F362B7D5C5A}"/>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[VyaaparX_Monthly_Sales_analysis.xlsx]analysis of net sales!PivotTable3</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'analysis of net sales'!$B$3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multiLvlStrRef>
              <c:f>'analysis of net sales'!$A$4:$A$39</c:f>
              <c:multiLvlStrCache>
                <c:ptCount val="33"/>
                <c:lvl>
                  <c:pt idx="0">
                    <c:v>Art and collections</c:v>
                  </c:pt>
                  <c:pt idx="1">
                    <c:v>Beverages</c:v>
                  </c:pt>
                  <c:pt idx="2">
                    <c:v>Books &amp; Stationeries</c:v>
                  </c:pt>
                  <c:pt idx="3">
                    <c:v>Confectionaries</c:v>
                  </c:pt>
                  <c:pt idx="4">
                    <c:v>Cosmetics</c:v>
                  </c:pt>
                  <c:pt idx="5">
                    <c:v>Drinkware</c:v>
                  </c:pt>
                  <c:pt idx="6">
                    <c:v>Electronics</c:v>
                  </c:pt>
                  <c:pt idx="7">
                    <c:v>Food and Beverages</c:v>
                  </c:pt>
                  <c:pt idx="8">
                    <c:v>Furniture</c:v>
                  </c:pt>
                  <c:pt idx="9">
                    <c:v>Hardware</c:v>
                  </c:pt>
                  <c:pt idx="10">
                    <c:v>Health &amp; Beauty</c:v>
                  </c:pt>
                  <c:pt idx="11">
                    <c:v>Home &amp; décor</c:v>
                  </c:pt>
                  <c:pt idx="12">
                    <c:v>Home and kitchen</c:v>
                  </c:pt>
                  <c:pt idx="13">
                    <c:v>Home and Lifestyle </c:v>
                  </c:pt>
                  <c:pt idx="14">
                    <c:v>Jewelry</c:v>
                  </c:pt>
                  <c:pt idx="15">
                    <c:v>Pet Supplies</c:v>
                  </c:pt>
                  <c:pt idx="16">
                    <c:v>Sports &amp; Fitness</c:v>
                  </c:pt>
                  <c:pt idx="17">
                    <c:v>Toys</c:v>
                  </c:pt>
                  <c:pt idx="18">
                    <c:v>Apparel</c:v>
                  </c:pt>
                  <c:pt idx="19">
                    <c:v>Art and collections</c:v>
                  </c:pt>
                  <c:pt idx="20">
                    <c:v>Automotive</c:v>
                  </c:pt>
                  <c:pt idx="21">
                    <c:v>Beverages</c:v>
                  </c:pt>
                  <c:pt idx="22">
                    <c:v>Books &amp; Stationeries</c:v>
                  </c:pt>
                  <c:pt idx="23">
                    <c:v>Cosmetics</c:v>
                  </c:pt>
                  <c:pt idx="24">
                    <c:v>Dry Fruits</c:v>
                  </c:pt>
                  <c:pt idx="25">
                    <c:v>Electronics</c:v>
                  </c:pt>
                  <c:pt idx="26">
                    <c:v>Fashion &amp; Acessories</c:v>
                  </c:pt>
                  <c:pt idx="27">
                    <c:v>Food and Beverages</c:v>
                  </c:pt>
                  <c:pt idx="28">
                    <c:v>Furniture</c:v>
                  </c:pt>
                  <c:pt idx="29">
                    <c:v>Hardware</c:v>
                  </c:pt>
                  <c:pt idx="30">
                    <c:v>Home &amp; décor</c:v>
                  </c:pt>
                  <c:pt idx="31">
                    <c:v>Home and kitchen</c:v>
                  </c:pt>
                  <c:pt idx="32">
                    <c:v>Sports &amp; Fitness</c:v>
                  </c:pt>
                </c:lvl>
                <c:lvl>
                  <c:pt idx="0">
                    <c:v>Delivered</c:v>
                  </c:pt>
                  <c:pt idx="18">
                    <c:v>Pending</c:v>
                  </c:pt>
                </c:lvl>
              </c:multiLvlStrCache>
            </c:multiLvlStrRef>
          </c:cat>
          <c:val>
            <c:numRef>
              <c:f>'analysis of net sales'!$B$4:$B$39</c:f>
              <c:numCache>
                <c:formatCode>_ [$₹-4009]\ * #,##0.00_ ;_ [$₹-4009]\ * \-#,##0.00_ ;_ [$₹-4009]\ * "-"??_ ;_ @_ </c:formatCode>
                <c:ptCount val="33"/>
                <c:pt idx="0">
                  <c:v>11340</c:v>
                </c:pt>
                <c:pt idx="1">
                  <c:v>85167.5</c:v>
                </c:pt>
                <c:pt idx="2">
                  <c:v>34778.1</c:v>
                </c:pt>
                <c:pt idx="3">
                  <c:v>4500</c:v>
                </c:pt>
                <c:pt idx="4">
                  <c:v>2250</c:v>
                </c:pt>
                <c:pt idx="5">
                  <c:v>48608</c:v>
                </c:pt>
                <c:pt idx="6">
                  <c:v>2261167.5</c:v>
                </c:pt>
                <c:pt idx="7">
                  <c:v>5110</c:v>
                </c:pt>
                <c:pt idx="8">
                  <c:v>51750</c:v>
                </c:pt>
                <c:pt idx="9">
                  <c:v>60074</c:v>
                </c:pt>
                <c:pt idx="10">
                  <c:v>6615</c:v>
                </c:pt>
                <c:pt idx="11">
                  <c:v>1340175</c:v>
                </c:pt>
                <c:pt idx="12">
                  <c:v>243170</c:v>
                </c:pt>
                <c:pt idx="13">
                  <c:v>4200</c:v>
                </c:pt>
                <c:pt idx="14">
                  <c:v>200000</c:v>
                </c:pt>
                <c:pt idx="15">
                  <c:v>48000</c:v>
                </c:pt>
                <c:pt idx="16">
                  <c:v>36400</c:v>
                </c:pt>
                <c:pt idx="17">
                  <c:v>65880</c:v>
                </c:pt>
                <c:pt idx="18">
                  <c:v>27720</c:v>
                </c:pt>
                <c:pt idx="19">
                  <c:v>4745317</c:v>
                </c:pt>
                <c:pt idx="20">
                  <c:v>465400</c:v>
                </c:pt>
                <c:pt idx="21">
                  <c:v>104980</c:v>
                </c:pt>
                <c:pt idx="22">
                  <c:v>45565</c:v>
                </c:pt>
                <c:pt idx="23">
                  <c:v>34500</c:v>
                </c:pt>
                <c:pt idx="24">
                  <c:v>17310</c:v>
                </c:pt>
                <c:pt idx="25">
                  <c:v>7559641.7000000002</c:v>
                </c:pt>
                <c:pt idx="26">
                  <c:v>601625</c:v>
                </c:pt>
                <c:pt idx="27">
                  <c:v>94770</c:v>
                </c:pt>
                <c:pt idx="28">
                  <c:v>137800</c:v>
                </c:pt>
                <c:pt idx="29">
                  <c:v>102210</c:v>
                </c:pt>
                <c:pt idx="30">
                  <c:v>2213205</c:v>
                </c:pt>
                <c:pt idx="31">
                  <c:v>98140</c:v>
                </c:pt>
                <c:pt idx="32">
                  <c:v>575900</c:v>
                </c:pt>
              </c:numCache>
            </c:numRef>
          </c:val>
          <c:extLst>
            <c:ext xmlns:c16="http://schemas.microsoft.com/office/drawing/2014/chart" uri="{C3380CC4-5D6E-409C-BE32-E72D297353CC}">
              <c16:uniqueId val="{00000000-620A-4215-A097-2420346E57E7}"/>
            </c:ext>
          </c:extLst>
        </c:ser>
        <c:dLbls>
          <c:showLegendKey val="0"/>
          <c:showVal val="0"/>
          <c:showCatName val="0"/>
          <c:showSerName val="0"/>
          <c:showPercent val="0"/>
          <c:showBubbleSize val="0"/>
        </c:dLbls>
        <c:gapWidth val="150"/>
        <c:shape val="box"/>
        <c:axId val="1105126832"/>
        <c:axId val="606696256"/>
        <c:axId val="0"/>
      </c:bar3DChart>
      <c:catAx>
        <c:axId val="110512683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696256"/>
        <c:crosses val="autoZero"/>
        <c:auto val="1"/>
        <c:lblAlgn val="ctr"/>
        <c:lblOffset val="100"/>
        <c:noMultiLvlLbl val="0"/>
      </c:catAx>
      <c:valAx>
        <c:axId val="606696256"/>
        <c:scaling>
          <c:orientation val="minMax"/>
        </c:scaling>
        <c:delete val="0"/>
        <c:axPos val="l"/>
        <c:majorGridlines>
          <c:spPr>
            <a:ln w="9525" cap="flat" cmpd="sng" algn="ctr">
              <a:solidFill>
                <a:schemeClr val="tx1">
                  <a:lumMod val="15000"/>
                  <a:lumOff val="85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5126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[VyaaparX_Monthly_Sales_analysis.xlsx]Type of orders!PivotTable6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'Type of orders'!$B$3</c:f>
              <c:strCache>
                <c:ptCount val="1"/>
                <c:pt idx="0">
                  <c:v>Total</c:v>
                </c:pt>
              </c:strCache>
            </c:strRef>
          </c:tx>
          <c:spPr>
            <a:solidFill>
              <a:schemeClr val="accent1"/>
            </a:solidFill>
            <a:ln>
              <a:noFill/>
            </a:ln>
            <a:effectLst/>
          </c:spPr>
          <c:invertIfNegative val="0"/>
          <c:cat>
            <c:multiLvlStrRef>
              <c:f>'Type of orders'!$A$4:$A$11</c:f>
              <c:multiLvlStrCache>
                <c:ptCount val="6"/>
                <c:lvl>
                  <c:pt idx="0">
                    <c:v>Industrial</c:v>
                  </c:pt>
                  <c:pt idx="1">
                    <c:v>Large</c:v>
                  </c:pt>
                  <c:pt idx="2">
                    <c:v>Medium</c:v>
                  </c:pt>
                  <c:pt idx="3">
                    <c:v>Micro</c:v>
                  </c:pt>
                  <c:pt idx="4">
                    <c:v>Small</c:v>
                  </c:pt>
                  <c:pt idx="5">
                    <c:v>Wholesale</c:v>
                  </c:pt>
                </c:lvl>
                <c:lvl>
                  <c:pt idx="0">
                    <c:v>Pending</c:v>
                  </c:pt>
                </c:lvl>
              </c:multiLvlStrCache>
            </c:multiLvlStrRef>
          </c:cat>
          <c:val>
            <c:numRef>
              <c:f>'Type of orders'!$B$4:$B$11</c:f>
              <c:numCache>
                <c:formatCode>_ [$₹-4009]\ * #,##0.00_ ;_ [$₹-4009]\ * \-#,##0.00_ ;_ [$₹-4009]\ * "-"??_ ;_ @_ </c:formatCode>
                <c:ptCount val="6"/>
                <c:pt idx="0">
                  <c:v>242104</c:v>
                </c:pt>
                <c:pt idx="1">
                  <c:v>758664.7</c:v>
                </c:pt>
                <c:pt idx="2">
                  <c:v>86865</c:v>
                </c:pt>
                <c:pt idx="3">
                  <c:v>3720</c:v>
                </c:pt>
                <c:pt idx="4">
                  <c:v>14976.8</c:v>
                </c:pt>
                <c:pt idx="5">
                  <c:v>2275987.2000000002</c:v>
                </c:pt>
              </c:numCache>
            </c:numRef>
          </c:val>
          <c:extLst>
            <c:ext xmlns:c16="http://schemas.microsoft.com/office/drawing/2014/chart" uri="{C3380CC4-5D6E-409C-BE32-E72D297353CC}">
              <c16:uniqueId val="{00000000-5699-43D0-8E6C-99569265314C}"/>
            </c:ext>
          </c:extLst>
        </c:ser>
        <c:dLbls>
          <c:showLegendKey val="0"/>
          <c:showVal val="0"/>
          <c:showCatName val="0"/>
          <c:showSerName val="0"/>
          <c:showPercent val="0"/>
          <c:showBubbleSize val="0"/>
        </c:dLbls>
        <c:gapWidth val="150"/>
        <c:overlap val="100"/>
        <c:axId val="1017064544"/>
        <c:axId val="897388672"/>
      </c:barChart>
      <c:catAx>
        <c:axId val="1017064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388672"/>
        <c:crosses val="autoZero"/>
        <c:auto val="1"/>
        <c:lblAlgn val="ctr"/>
        <c:lblOffset val="100"/>
        <c:noMultiLvlLbl val="0"/>
      </c:catAx>
      <c:valAx>
        <c:axId val="897388672"/>
        <c:scaling>
          <c:orientation val="minMax"/>
        </c:scaling>
        <c:delete val="0"/>
        <c:axPos val="l"/>
        <c:majorGridlines>
          <c:spPr>
            <a:ln w="9525" cap="flat" cmpd="sng" algn="ctr">
              <a:solidFill>
                <a:schemeClr val="tx1">
                  <a:lumMod val="15000"/>
                  <a:lumOff val="85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064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[VyaaparX_Monthly_Sales_analysis.xlsx]Orders analysis!PivotTable3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1"/>
          </a:solidFill>
          <a:ln>
            <a:noFill/>
          </a:ln>
          <a:effectLst/>
        </c:spPr>
      </c:pivotFmt>
      <c:pivotFmt>
        <c:idx val="36"/>
        <c:spPr>
          <a:solidFill>
            <a:schemeClr val="accent1"/>
          </a:solidFill>
          <a:ln>
            <a:noFill/>
          </a:ln>
          <a:effectLst/>
        </c:spPr>
      </c:pivotFmt>
      <c:pivotFmt>
        <c:idx val="37"/>
        <c:spPr>
          <a:solidFill>
            <a:schemeClr val="accent1"/>
          </a:solidFill>
          <a:ln>
            <a:noFill/>
          </a:ln>
          <a:effectLst/>
        </c:spPr>
      </c:pivotFmt>
      <c:pivotFmt>
        <c:idx val="38"/>
        <c:spPr>
          <a:solidFill>
            <a:schemeClr val="accent1"/>
          </a:solidFill>
          <a:ln>
            <a:noFill/>
          </a:ln>
          <a:effectLst/>
        </c:spPr>
      </c:pivotFmt>
      <c:pivotFmt>
        <c:idx val="39"/>
        <c:spPr>
          <a:solidFill>
            <a:schemeClr val="accent1"/>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1"/>
          </a:solidFill>
          <a:ln>
            <a:noFill/>
          </a:ln>
          <a:effectLst/>
        </c:spPr>
      </c:pivotFmt>
      <c:pivotFmt>
        <c:idx val="44"/>
        <c:spPr>
          <a:solidFill>
            <a:schemeClr val="accent1"/>
          </a:solidFill>
          <a:ln>
            <a:noFill/>
          </a:ln>
          <a:effectLst/>
        </c:spPr>
      </c:pivotFmt>
      <c:pivotFmt>
        <c:idx val="45"/>
        <c:spPr>
          <a:solidFill>
            <a:schemeClr val="accent1"/>
          </a:solidFill>
          <a:ln>
            <a:noFill/>
          </a:ln>
          <a:effectLst/>
        </c:spPr>
      </c:pivotFmt>
      <c:pivotFmt>
        <c:idx val="46"/>
        <c:spPr>
          <a:solidFill>
            <a:schemeClr val="accent1"/>
          </a:solidFill>
          <a:ln>
            <a:noFill/>
          </a:ln>
          <a:effectLst/>
        </c:spPr>
      </c:pivotFmt>
      <c:pivotFmt>
        <c:idx val="47"/>
        <c:spPr>
          <a:solidFill>
            <a:schemeClr val="accent1"/>
          </a:solidFill>
          <a:ln>
            <a:noFill/>
          </a:ln>
          <a:effectLst/>
        </c:spPr>
      </c:pivotFmt>
      <c:pivotFmt>
        <c:idx val="48"/>
        <c:spPr>
          <a:solidFill>
            <a:schemeClr val="accent1"/>
          </a:solidFill>
          <a:ln>
            <a:noFill/>
          </a:ln>
          <a:effectLst/>
        </c:spPr>
      </c:pivotFmt>
      <c:pivotFmt>
        <c:idx val="49"/>
        <c:spPr>
          <a:solidFill>
            <a:schemeClr val="accent1"/>
          </a:solidFill>
          <a:ln>
            <a:noFill/>
          </a:ln>
          <a:effectLst/>
        </c:spPr>
      </c:pivotFmt>
      <c:pivotFmt>
        <c:idx val="50"/>
        <c:spPr>
          <a:solidFill>
            <a:schemeClr val="accent1"/>
          </a:solidFill>
          <a:ln>
            <a:noFill/>
          </a:ln>
          <a:effectLst/>
        </c:spPr>
      </c:pivotFmt>
      <c:pivotFmt>
        <c:idx val="51"/>
        <c:spPr>
          <a:solidFill>
            <a:schemeClr val="accent1"/>
          </a:solidFill>
          <a:ln>
            <a:noFill/>
          </a:ln>
          <a:effectLst/>
        </c:spPr>
      </c:pivotFmt>
      <c:pivotFmt>
        <c:idx val="52"/>
        <c:spPr>
          <a:solidFill>
            <a:schemeClr val="accent1"/>
          </a:solidFill>
          <a:ln>
            <a:noFill/>
          </a:ln>
          <a:effectLst/>
        </c:spPr>
      </c:pivotFmt>
      <c:pivotFmt>
        <c:idx val="53"/>
        <c:spPr>
          <a:solidFill>
            <a:schemeClr val="accent1"/>
          </a:solidFill>
          <a:ln>
            <a:noFill/>
          </a:ln>
          <a:effectLst/>
        </c:spPr>
      </c:pivotFmt>
      <c:pivotFmt>
        <c:idx val="54"/>
        <c:spPr>
          <a:solidFill>
            <a:schemeClr val="accent1"/>
          </a:solidFill>
          <a:ln>
            <a:noFill/>
          </a:ln>
          <a:effectLst/>
        </c:spPr>
      </c:pivotFmt>
      <c:pivotFmt>
        <c:idx val="55"/>
        <c:spPr>
          <a:solidFill>
            <a:schemeClr val="accent1"/>
          </a:solidFill>
          <a:ln>
            <a:noFill/>
          </a:ln>
          <a:effectLst/>
        </c:spPr>
      </c:pivotFmt>
      <c:pivotFmt>
        <c:idx val="56"/>
        <c:spPr>
          <a:solidFill>
            <a:schemeClr val="accent1"/>
          </a:solidFill>
          <a:ln>
            <a:noFill/>
          </a:ln>
          <a:effectLst/>
        </c:spPr>
      </c:pivotFmt>
      <c:pivotFmt>
        <c:idx val="57"/>
        <c:spPr>
          <a:solidFill>
            <a:schemeClr val="accent1"/>
          </a:solidFill>
          <a:ln>
            <a:noFill/>
          </a:ln>
          <a:effectLst/>
        </c:spPr>
      </c:pivotFmt>
      <c:pivotFmt>
        <c:idx val="58"/>
        <c:spPr>
          <a:solidFill>
            <a:schemeClr val="accent1"/>
          </a:solidFill>
          <a:ln>
            <a:noFill/>
          </a:ln>
          <a:effectLst/>
        </c:spPr>
      </c:pivotFmt>
      <c:pivotFmt>
        <c:idx val="59"/>
        <c:spPr>
          <a:solidFill>
            <a:schemeClr val="accent1"/>
          </a:solidFill>
          <a:ln>
            <a:noFill/>
          </a:ln>
          <a:effectLst/>
        </c:spPr>
      </c:pivotFmt>
      <c:pivotFmt>
        <c:idx val="60"/>
        <c:spPr>
          <a:solidFill>
            <a:schemeClr val="accent1"/>
          </a:solidFill>
          <a:ln>
            <a:noFill/>
          </a:ln>
          <a:effectLst/>
        </c:spPr>
      </c:pivotFmt>
      <c:pivotFmt>
        <c:idx val="61"/>
        <c:spPr>
          <a:solidFill>
            <a:schemeClr val="accent1"/>
          </a:solidFill>
          <a:ln>
            <a:noFill/>
          </a:ln>
          <a:effectLst/>
        </c:spPr>
      </c:pivotFmt>
      <c:pivotFmt>
        <c:idx val="62"/>
        <c:spPr>
          <a:solidFill>
            <a:schemeClr val="accent1"/>
          </a:solidFill>
          <a:ln>
            <a:noFill/>
          </a:ln>
          <a:effectLst/>
        </c:spPr>
      </c:pivotFmt>
      <c:pivotFmt>
        <c:idx val="63"/>
        <c:spPr>
          <a:solidFill>
            <a:schemeClr val="accent1"/>
          </a:solidFill>
          <a:ln>
            <a:noFill/>
          </a:ln>
          <a:effectLst/>
        </c:spPr>
      </c:pivotFmt>
      <c:pivotFmt>
        <c:idx val="64"/>
        <c:spPr>
          <a:solidFill>
            <a:schemeClr val="accent1"/>
          </a:solidFill>
          <a:ln>
            <a:noFill/>
          </a:ln>
          <a:effectLst/>
        </c:spPr>
      </c:pivotFmt>
      <c:pivotFmt>
        <c:idx val="65"/>
        <c:spPr>
          <a:solidFill>
            <a:schemeClr val="accent1"/>
          </a:solidFill>
          <a:ln>
            <a:noFill/>
          </a:ln>
          <a:effectLst/>
        </c:spPr>
      </c:pivotFmt>
      <c:pivotFmt>
        <c:idx val="66"/>
        <c:spPr>
          <a:solidFill>
            <a:schemeClr val="accent1"/>
          </a:solidFill>
          <a:ln>
            <a:noFill/>
          </a:ln>
          <a:effectLst/>
        </c:spPr>
      </c:pivotFmt>
      <c:pivotFmt>
        <c:idx val="67"/>
        <c:spPr>
          <a:solidFill>
            <a:schemeClr val="accent1"/>
          </a:solidFill>
          <a:ln>
            <a:noFill/>
          </a:ln>
          <a:effectLst/>
        </c:spPr>
      </c:pivotFmt>
      <c:pivotFmt>
        <c:idx val="68"/>
        <c:spPr>
          <a:solidFill>
            <a:schemeClr val="accent1"/>
          </a:solidFill>
          <a:ln>
            <a:noFill/>
          </a:ln>
          <a:effectLst/>
        </c:spPr>
      </c:pivotFmt>
    </c:pivotFmts>
    <c:plotArea>
      <c:layout/>
      <c:doughnutChart>
        <c:varyColors val="1"/>
        <c:ser>
          <c:idx val="0"/>
          <c:order val="0"/>
          <c:tx>
            <c:strRef>
              <c:f>'Orders analysis'!$B$3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A588-4AE0-AB9D-B7BC3B763A6C}"/>
              </c:ext>
            </c:extLst>
          </c:dPt>
          <c:dPt>
            <c:idx val="1"/>
            <c:bubble3D val="0"/>
            <c:spPr>
              <a:solidFill>
                <a:schemeClr val="accent2"/>
              </a:solidFill>
              <a:ln>
                <a:noFill/>
              </a:ln>
              <a:effectLst/>
            </c:spPr>
            <c:extLst>
              <c:ext xmlns:c16="http://schemas.microsoft.com/office/drawing/2014/chart" uri="{C3380CC4-5D6E-409C-BE32-E72D297353CC}">
                <c16:uniqueId val="{00000003-A588-4AE0-AB9D-B7BC3B763A6C}"/>
              </c:ext>
            </c:extLst>
          </c:dPt>
          <c:dPt>
            <c:idx val="2"/>
            <c:bubble3D val="0"/>
            <c:spPr>
              <a:solidFill>
                <a:schemeClr val="accent3"/>
              </a:solidFill>
              <a:ln>
                <a:noFill/>
              </a:ln>
              <a:effectLst/>
            </c:spPr>
            <c:extLst>
              <c:ext xmlns:c16="http://schemas.microsoft.com/office/drawing/2014/chart" uri="{C3380CC4-5D6E-409C-BE32-E72D297353CC}">
                <c16:uniqueId val="{00000005-A588-4AE0-AB9D-B7BC3B763A6C}"/>
              </c:ext>
            </c:extLst>
          </c:dPt>
          <c:dPt>
            <c:idx val="3"/>
            <c:bubble3D val="0"/>
            <c:spPr>
              <a:solidFill>
                <a:schemeClr val="accent4"/>
              </a:solidFill>
              <a:ln>
                <a:noFill/>
              </a:ln>
              <a:effectLst/>
            </c:spPr>
            <c:extLst>
              <c:ext xmlns:c16="http://schemas.microsoft.com/office/drawing/2014/chart" uri="{C3380CC4-5D6E-409C-BE32-E72D297353CC}">
                <c16:uniqueId val="{00000007-A588-4AE0-AB9D-B7BC3B763A6C}"/>
              </c:ext>
            </c:extLst>
          </c:dPt>
          <c:dPt>
            <c:idx val="4"/>
            <c:bubble3D val="0"/>
            <c:spPr>
              <a:solidFill>
                <a:schemeClr val="accent5"/>
              </a:solidFill>
              <a:ln>
                <a:noFill/>
              </a:ln>
              <a:effectLst/>
            </c:spPr>
            <c:extLst>
              <c:ext xmlns:c16="http://schemas.microsoft.com/office/drawing/2014/chart" uri="{C3380CC4-5D6E-409C-BE32-E72D297353CC}">
                <c16:uniqueId val="{00000009-A588-4AE0-AB9D-B7BC3B763A6C}"/>
              </c:ext>
            </c:extLst>
          </c:dPt>
          <c:dPt>
            <c:idx val="5"/>
            <c:bubble3D val="0"/>
            <c:spPr>
              <a:solidFill>
                <a:schemeClr val="accent6"/>
              </a:solidFill>
              <a:ln>
                <a:noFill/>
              </a:ln>
              <a:effectLst/>
            </c:spPr>
            <c:extLst>
              <c:ext xmlns:c16="http://schemas.microsoft.com/office/drawing/2014/chart" uri="{C3380CC4-5D6E-409C-BE32-E72D297353CC}">
                <c16:uniqueId val="{0000000B-A588-4AE0-AB9D-B7BC3B763A6C}"/>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A588-4AE0-AB9D-B7BC3B763A6C}"/>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A588-4AE0-AB9D-B7BC3B763A6C}"/>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A588-4AE0-AB9D-B7BC3B763A6C}"/>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A588-4AE0-AB9D-B7BC3B763A6C}"/>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15-A588-4AE0-AB9D-B7BC3B763A6C}"/>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017-A588-4AE0-AB9D-B7BC3B763A6C}"/>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019-A588-4AE0-AB9D-B7BC3B763A6C}"/>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01B-A588-4AE0-AB9D-B7BC3B763A6C}"/>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01D-A588-4AE0-AB9D-B7BC3B763A6C}"/>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01F-A588-4AE0-AB9D-B7BC3B763A6C}"/>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021-A588-4AE0-AB9D-B7BC3B763A6C}"/>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023-A588-4AE0-AB9D-B7BC3B763A6C}"/>
              </c:ext>
            </c:extLst>
          </c:dPt>
          <c:dPt>
            <c:idx val="18"/>
            <c:bubble3D val="0"/>
            <c:spPr>
              <a:solidFill>
                <a:schemeClr val="accent1">
                  <a:lumMod val="80000"/>
                </a:schemeClr>
              </a:solidFill>
              <a:ln>
                <a:noFill/>
              </a:ln>
              <a:effectLst/>
            </c:spPr>
            <c:extLst>
              <c:ext xmlns:c16="http://schemas.microsoft.com/office/drawing/2014/chart" uri="{C3380CC4-5D6E-409C-BE32-E72D297353CC}">
                <c16:uniqueId val="{00000025-A588-4AE0-AB9D-B7BC3B763A6C}"/>
              </c:ext>
            </c:extLst>
          </c:dPt>
          <c:dPt>
            <c:idx val="19"/>
            <c:bubble3D val="0"/>
            <c:spPr>
              <a:solidFill>
                <a:schemeClr val="accent2">
                  <a:lumMod val="80000"/>
                </a:schemeClr>
              </a:solidFill>
              <a:ln>
                <a:noFill/>
              </a:ln>
              <a:effectLst/>
            </c:spPr>
            <c:extLst>
              <c:ext xmlns:c16="http://schemas.microsoft.com/office/drawing/2014/chart" uri="{C3380CC4-5D6E-409C-BE32-E72D297353CC}">
                <c16:uniqueId val="{00000027-A588-4AE0-AB9D-B7BC3B763A6C}"/>
              </c:ext>
            </c:extLst>
          </c:dPt>
          <c:dPt>
            <c:idx val="20"/>
            <c:bubble3D val="0"/>
            <c:spPr>
              <a:solidFill>
                <a:schemeClr val="accent3">
                  <a:lumMod val="80000"/>
                </a:schemeClr>
              </a:solidFill>
              <a:ln>
                <a:noFill/>
              </a:ln>
              <a:effectLst/>
            </c:spPr>
            <c:extLst>
              <c:ext xmlns:c16="http://schemas.microsoft.com/office/drawing/2014/chart" uri="{C3380CC4-5D6E-409C-BE32-E72D297353CC}">
                <c16:uniqueId val="{00000029-A588-4AE0-AB9D-B7BC3B763A6C}"/>
              </c:ext>
            </c:extLst>
          </c:dPt>
          <c:dPt>
            <c:idx val="21"/>
            <c:bubble3D val="0"/>
            <c:spPr>
              <a:solidFill>
                <a:schemeClr val="accent4">
                  <a:lumMod val="80000"/>
                </a:schemeClr>
              </a:solidFill>
              <a:ln>
                <a:noFill/>
              </a:ln>
              <a:effectLst/>
            </c:spPr>
            <c:extLst>
              <c:ext xmlns:c16="http://schemas.microsoft.com/office/drawing/2014/chart" uri="{C3380CC4-5D6E-409C-BE32-E72D297353CC}">
                <c16:uniqueId val="{0000002B-A588-4AE0-AB9D-B7BC3B763A6C}"/>
              </c:ext>
            </c:extLst>
          </c:dPt>
          <c:dPt>
            <c:idx val="22"/>
            <c:bubble3D val="0"/>
            <c:spPr>
              <a:solidFill>
                <a:schemeClr val="accent5">
                  <a:lumMod val="80000"/>
                </a:schemeClr>
              </a:solidFill>
              <a:ln>
                <a:noFill/>
              </a:ln>
              <a:effectLst/>
            </c:spPr>
            <c:extLst>
              <c:ext xmlns:c16="http://schemas.microsoft.com/office/drawing/2014/chart" uri="{C3380CC4-5D6E-409C-BE32-E72D297353CC}">
                <c16:uniqueId val="{0000002D-A588-4AE0-AB9D-B7BC3B763A6C}"/>
              </c:ext>
            </c:extLst>
          </c:dPt>
          <c:dPt>
            <c:idx val="23"/>
            <c:bubble3D val="0"/>
            <c:spPr>
              <a:solidFill>
                <a:schemeClr val="accent6">
                  <a:lumMod val="80000"/>
                </a:schemeClr>
              </a:solidFill>
              <a:ln>
                <a:noFill/>
              </a:ln>
              <a:effectLst/>
            </c:spPr>
            <c:extLst>
              <c:ext xmlns:c16="http://schemas.microsoft.com/office/drawing/2014/chart" uri="{C3380CC4-5D6E-409C-BE32-E72D297353CC}">
                <c16:uniqueId val="{0000002F-A588-4AE0-AB9D-B7BC3B763A6C}"/>
              </c:ext>
            </c:extLst>
          </c:dPt>
          <c:dPt>
            <c:idx val="24"/>
            <c:bubble3D val="0"/>
            <c:spPr>
              <a:solidFill>
                <a:schemeClr val="accent1">
                  <a:lumMod val="60000"/>
                  <a:lumOff val="40000"/>
                </a:schemeClr>
              </a:solidFill>
              <a:ln>
                <a:noFill/>
              </a:ln>
              <a:effectLst/>
            </c:spPr>
            <c:extLst>
              <c:ext xmlns:c16="http://schemas.microsoft.com/office/drawing/2014/chart" uri="{C3380CC4-5D6E-409C-BE32-E72D297353CC}">
                <c16:uniqueId val="{00000031-A588-4AE0-AB9D-B7BC3B763A6C}"/>
              </c:ext>
            </c:extLst>
          </c:dPt>
          <c:dPt>
            <c:idx val="25"/>
            <c:bubble3D val="0"/>
            <c:spPr>
              <a:solidFill>
                <a:schemeClr val="accent2">
                  <a:lumMod val="60000"/>
                  <a:lumOff val="40000"/>
                </a:schemeClr>
              </a:solidFill>
              <a:ln>
                <a:noFill/>
              </a:ln>
              <a:effectLst/>
            </c:spPr>
            <c:extLst>
              <c:ext xmlns:c16="http://schemas.microsoft.com/office/drawing/2014/chart" uri="{C3380CC4-5D6E-409C-BE32-E72D297353CC}">
                <c16:uniqueId val="{00000033-A588-4AE0-AB9D-B7BC3B763A6C}"/>
              </c:ext>
            </c:extLst>
          </c:dPt>
          <c:dPt>
            <c:idx val="26"/>
            <c:bubble3D val="0"/>
            <c:spPr>
              <a:solidFill>
                <a:schemeClr val="accent3">
                  <a:lumMod val="60000"/>
                  <a:lumOff val="40000"/>
                </a:schemeClr>
              </a:solidFill>
              <a:ln>
                <a:noFill/>
              </a:ln>
              <a:effectLst/>
            </c:spPr>
            <c:extLst>
              <c:ext xmlns:c16="http://schemas.microsoft.com/office/drawing/2014/chart" uri="{C3380CC4-5D6E-409C-BE32-E72D297353CC}">
                <c16:uniqueId val="{00000035-A588-4AE0-AB9D-B7BC3B763A6C}"/>
              </c:ext>
            </c:extLst>
          </c:dPt>
          <c:dPt>
            <c:idx val="27"/>
            <c:bubble3D val="0"/>
            <c:spPr>
              <a:solidFill>
                <a:schemeClr val="accent4">
                  <a:lumMod val="60000"/>
                  <a:lumOff val="40000"/>
                </a:schemeClr>
              </a:solidFill>
              <a:ln>
                <a:noFill/>
              </a:ln>
              <a:effectLst/>
            </c:spPr>
            <c:extLst>
              <c:ext xmlns:c16="http://schemas.microsoft.com/office/drawing/2014/chart" uri="{C3380CC4-5D6E-409C-BE32-E72D297353CC}">
                <c16:uniqueId val="{00000037-A588-4AE0-AB9D-B7BC3B763A6C}"/>
              </c:ext>
            </c:extLst>
          </c:dPt>
          <c:dPt>
            <c:idx val="28"/>
            <c:bubble3D val="0"/>
            <c:spPr>
              <a:solidFill>
                <a:schemeClr val="accent5">
                  <a:lumMod val="60000"/>
                  <a:lumOff val="40000"/>
                </a:schemeClr>
              </a:solidFill>
              <a:ln>
                <a:noFill/>
              </a:ln>
              <a:effectLst/>
            </c:spPr>
            <c:extLst>
              <c:ext xmlns:c16="http://schemas.microsoft.com/office/drawing/2014/chart" uri="{C3380CC4-5D6E-409C-BE32-E72D297353CC}">
                <c16:uniqueId val="{00000039-A588-4AE0-AB9D-B7BC3B763A6C}"/>
              </c:ext>
            </c:extLst>
          </c:dPt>
          <c:dPt>
            <c:idx val="29"/>
            <c:bubble3D val="0"/>
            <c:spPr>
              <a:solidFill>
                <a:schemeClr val="accent6">
                  <a:lumMod val="60000"/>
                  <a:lumOff val="40000"/>
                </a:schemeClr>
              </a:solidFill>
              <a:ln>
                <a:noFill/>
              </a:ln>
              <a:effectLst/>
            </c:spPr>
            <c:extLst>
              <c:ext xmlns:c16="http://schemas.microsoft.com/office/drawing/2014/chart" uri="{C3380CC4-5D6E-409C-BE32-E72D297353CC}">
                <c16:uniqueId val="{0000003B-A588-4AE0-AB9D-B7BC3B763A6C}"/>
              </c:ext>
            </c:extLst>
          </c:dPt>
          <c:dPt>
            <c:idx val="30"/>
            <c:bubble3D val="0"/>
            <c:spPr>
              <a:solidFill>
                <a:schemeClr val="accent1">
                  <a:lumMod val="50000"/>
                </a:schemeClr>
              </a:solidFill>
              <a:ln>
                <a:noFill/>
              </a:ln>
              <a:effectLst/>
            </c:spPr>
            <c:extLst>
              <c:ext xmlns:c16="http://schemas.microsoft.com/office/drawing/2014/chart" uri="{C3380CC4-5D6E-409C-BE32-E72D297353CC}">
                <c16:uniqueId val="{0000003D-A588-4AE0-AB9D-B7BC3B763A6C}"/>
              </c:ext>
            </c:extLst>
          </c:dPt>
          <c:dPt>
            <c:idx val="31"/>
            <c:bubble3D val="0"/>
            <c:spPr>
              <a:solidFill>
                <a:schemeClr val="accent2">
                  <a:lumMod val="50000"/>
                </a:schemeClr>
              </a:solidFill>
              <a:ln>
                <a:noFill/>
              </a:ln>
              <a:effectLst/>
            </c:spPr>
            <c:extLst>
              <c:ext xmlns:c16="http://schemas.microsoft.com/office/drawing/2014/chart" uri="{C3380CC4-5D6E-409C-BE32-E72D297353CC}">
                <c16:uniqueId val="{0000003F-A588-4AE0-AB9D-B7BC3B763A6C}"/>
              </c:ext>
            </c:extLst>
          </c:dPt>
          <c:dPt>
            <c:idx val="32"/>
            <c:bubble3D val="0"/>
            <c:spPr>
              <a:solidFill>
                <a:schemeClr val="accent3">
                  <a:lumMod val="50000"/>
                </a:schemeClr>
              </a:solidFill>
              <a:ln>
                <a:noFill/>
              </a:ln>
              <a:effectLst/>
            </c:spPr>
            <c:extLst>
              <c:ext xmlns:c16="http://schemas.microsoft.com/office/drawing/2014/chart" uri="{C3380CC4-5D6E-409C-BE32-E72D297353CC}">
                <c16:uniqueId val="{00000041-A588-4AE0-AB9D-B7BC3B763A6C}"/>
              </c:ext>
            </c:extLst>
          </c:dPt>
          <c:dPt>
            <c:idx val="33"/>
            <c:bubble3D val="0"/>
            <c:spPr>
              <a:solidFill>
                <a:schemeClr val="accent4">
                  <a:lumMod val="50000"/>
                </a:schemeClr>
              </a:solidFill>
              <a:ln>
                <a:noFill/>
              </a:ln>
              <a:effectLst/>
            </c:spPr>
            <c:extLst>
              <c:ext xmlns:c16="http://schemas.microsoft.com/office/drawing/2014/chart" uri="{C3380CC4-5D6E-409C-BE32-E72D297353CC}">
                <c16:uniqueId val="{00000043-A588-4AE0-AB9D-B7BC3B763A6C}"/>
              </c:ext>
            </c:extLst>
          </c:dPt>
          <c:dPt>
            <c:idx val="34"/>
            <c:bubble3D val="0"/>
            <c:spPr>
              <a:solidFill>
                <a:schemeClr val="accent5">
                  <a:lumMod val="50000"/>
                </a:schemeClr>
              </a:solidFill>
              <a:ln>
                <a:noFill/>
              </a:ln>
              <a:effectLst/>
            </c:spPr>
            <c:extLst>
              <c:ext xmlns:c16="http://schemas.microsoft.com/office/drawing/2014/chart" uri="{C3380CC4-5D6E-409C-BE32-E72D297353CC}">
                <c16:uniqueId val="{00000045-A588-4AE0-AB9D-B7BC3B763A6C}"/>
              </c:ext>
            </c:extLst>
          </c:dPt>
          <c:cat>
            <c:multiLvlStrRef>
              <c:f>'Orders analysis'!$A$4:$A$59</c:f>
              <c:multiLvlStrCache>
                <c:ptCount val="33"/>
                <c:lvl>
                  <c:pt idx="0">
                    <c:v>Pending</c:v>
                  </c:pt>
                  <c:pt idx="1">
                    <c:v>Delivered</c:v>
                  </c:pt>
                  <c:pt idx="2">
                    <c:v>Pending</c:v>
                  </c:pt>
                  <c:pt idx="3">
                    <c:v>Pending</c:v>
                  </c:pt>
                  <c:pt idx="4">
                    <c:v>Delivered</c:v>
                  </c:pt>
                  <c:pt idx="5">
                    <c:v>Pending</c:v>
                  </c:pt>
                  <c:pt idx="6">
                    <c:v>Delivered</c:v>
                  </c:pt>
                  <c:pt idx="7">
                    <c:v>Pending</c:v>
                  </c:pt>
                  <c:pt idx="8">
                    <c:v>Delivered</c:v>
                  </c:pt>
                  <c:pt idx="9">
                    <c:v>Delivered</c:v>
                  </c:pt>
                  <c:pt idx="10">
                    <c:v>Pending</c:v>
                  </c:pt>
                  <c:pt idx="11">
                    <c:v>Delivered</c:v>
                  </c:pt>
                  <c:pt idx="12">
                    <c:v>Pending</c:v>
                  </c:pt>
                  <c:pt idx="13">
                    <c:v>Delivered</c:v>
                  </c:pt>
                  <c:pt idx="14">
                    <c:v>Pending</c:v>
                  </c:pt>
                  <c:pt idx="15">
                    <c:v>Pending</c:v>
                  </c:pt>
                  <c:pt idx="16">
                    <c:v>Delivered</c:v>
                  </c:pt>
                  <c:pt idx="17">
                    <c:v>Pending</c:v>
                  </c:pt>
                  <c:pt idx="18">
                    <c:v>Delivered</c:v>
                  </c:pt>
                  <c:pt idx="19">
                    <c:v>Pending</c:v>
                  </c:pt>
                  <c:pt idx="20">
                    <c:v>Delivered</c:v>
                  </c:pt>
                  <c:pt idx="21">
                    <c:v>Pending</c:v>
                  </c:pt>
                  <c:pt idx="22">
                    <c:v>Delivered</c:v>
                  </c:pt>
                  <c:pt idx="23">
                    <c:v>Delivered</c:v>
                  </c:pt>
                  <c:pt idx="24">
                    <c:v>Pending</c:v>
                  </c:pt>
                  <c:pt idx="25">
                    <c:v>Delivered</c:v>
                  </c:pt>
                  <c:pt idx="26">
                    <c:v>Pending</c:v>
                  </c:pt>
                  <c:pt idx="27">
                    <c:v>Delivered</c:v>
                  </c:pt>
                  <c:pt idx="28">
                    <c:v>Delivered</c:v>
                  </c:pt>
                  <c:pt idx="29">
                    <c:v>Delivered</c:v>
                  </c:pt>
                  <c:pt idx="30">
                    <c:v>Delivered</c:v>
                  </c:pt>
                  <c:pt idx="31">
                    <c:v>Pending</c:v>
                  </c:pt>
                  <c:pt idx="32">
                    <c:v>Delivered</c:v>
                  </c:pt>
                </c:lvl>
                <c:lvl>
                  <c:pt idx="0">
                    <c:v>Apparel</c:v>
                  </c:pt>
                  <c:pt idx="1">
                    <c:v>Art and collections</c:v>
                  </c:pt>
                  <c:pt idx="3">
                    <c:v>Automotive</c:v>
                  </c:pt>
                  <c:pt idx="4">
                    <c:v>Beverages</c:v>
                  </c:pt>
                  <c:pt idx="6">
                    <c:v>Books &amp; Stationeries</c:v>
                  </c:pt>
                  <c:pt idx="8">
                    <c:v>Confectionaries</c:v>
                  </c:pt>
                  <c:pt idx="9">
                    <c:v>Cosmetics</c:v>
                  </c:pt>
                  <c:pt idx="11">
                    <c:v>Drinkware</c:v>
                  </c:pt>
                  <c:pt idx="12">
                    <c:v>Dry Fruits</c:v>
                  </c:pt>
                  <c:pt idx="13">
                    <c:v>Electronics</c:v>
                  </c:pt>
                  <c:pt idx="15">
                    <c:v>Fashion &amp; Acessories</c:v>
                  </c:pt>
                  <c:pt idx="16">
                    <c:v>Food and Beverages</c:v>
                  </c:pt>
                  <c:pt idx="18">
                    <c:v>Furniture</c:v>
                  </c:pt>
                  <c:pt idx="20">
                    <c:v>Hardware</c:v>
                  </c:pt>
                  <c:pt idx="22">
                    <c:v>Health &amp; Beauty</c:v>
                  </c:pt>
                  <c:pt idx="23">
                    <c:v>Home &amp; décor</c:v>
                  </c:pt>
                  <c:pt idx="25">
                    <c:v>Home and kitchen</c:v>
                  </c:pt>
                  <c:pt idx="27">
                    <c:v>Home and Lifestyle </c:v>
                  </c:pt>
                  <c:pt idx="28">
                    <c:v>Jewelry</c:v>
                  </c:pt>
                  <c:pt idx="29">
                    <c:v>Pet Supplies</c:v>
                  </c:pt>
                  <c:pt idx="30">
                    <c:v>Sports &amp; Fitness</c:v>
                  </c:pt>
                  <c:pt idx="32">
                    <c:v>Toys</c:v>
                  </c:pt>
                </c:lvl>
              </c:multiLvlStrCache>
            </c:multiLvlStrRef>
          </c:cat>
          <c:val>
            <c:numRef>
              <c:f>'Orders analysis'!$B$4:$B$59</c:f>
              <c:numCache>
                <c:formatCode>_ [$₹-4009]\ * #,##0.00_ ;_ [$₹-4009]\ * \-#,##0.00_ ;_ [$₹-4009]\ * "-"??_ ;_ @_ </c:formatCode>
                <c:ptCount val="33"/>
                <c:pt idx="0">
                  <c:v>4620</c:v>
                </c:pt>
                <c:pt idx="1">
                  <c:v>3240</c:v>
                </c:pt>
                <c:pt idx="2">
                  <c:v>876227</c:v>
                </c:pt>
                <c:pt idx="3">
                  <c:v>113400</c:v>
                </c:pt>
                <c:pt idx="4">
                  <c:v>15417.5</c:v>
                </c:pt>
                <c:pt idx="5">
                  <c:v>20180</c:v>
                </c:pt>
                <c:pt idx="6">
                  <c:v>9194.0999999999985</c:v>
                </c:pt>
                <c:pt idx="7">
                  <c:v>12715</c:v>
                </c:pt>
                <c:pt idx="8">
                  <c:v>900</c:v>
                </c:pt>
                <c:pt idx="9">
                  <c:v>450</c:v>
                </c:pt>
                <c:pt idx="10">
                  <c:v>4500</c:v>
                </c:pt>
                <c:pt idx="11">
                  <c:v>9408</c:v>
                </c:pt>
                <c:pt idx="12">
                  <c:v>3160</c:v>
                </c:pt>
                <c:pt idx="13">
                  <c:v>421677.5</c:v>
                </c:pt>
                <c:pt idx="14">
                  <c:v>1505165.7</c:v>
                </c:pt>
                <c:pt idx="15">
                  <c:v>142925</c:v>
                </c:pt>
                <c:pt idx="16">
                  <c:v>1460</c:v>
                </c:pt>
                <c:pt idx="17">
                  <c:v>21870</c:v>
                </c:pt>
                <c:pt idx="18">
                  <c:v>6750</c:v>
                </c:pt>
                <c:pt idx="19">
                  <c:v>31800</c:v>
                </c:pt>
                <c:pt idx="20">
                  <c:v>14374</c:v>
                </c:pt>
                <c:pt idx="21">
                  <c:v>26010</c:v>
                </c:pt>
                <c:pt idx="22">
                  <c:v>1715</c:v>
                </c:pt>
                <c:pt idx="23">
                  <c:v>211425</c:v>
                </c:pt>
                <c:pt idx="24">
                  <c:v>448205</c:v>
                </c:pt>
                <c:pt idx="25">
                  <c:v>39070</c:v>
                </c:pt>
                <c:pt idx="26">
                  <c:v>21640</c:v>
                </c:pt>
                <c:pt idx="27">
                  <c:v>1200</c:v>
                </c:pt>
                <c:pt idx="28">
                  <c:v>40000</c:v>
                </c:pt>
                <c:pt idx="29">
                  <c:v>10500</c:v>
                </c:pt>
                <c:pt idx="30">
                  <c:v>10400</c:v>
                </c:pt>
                <c:pt idx="31">
                  <c:v>149900</c:v>
                </c:pt>
                <c:pt idx="32">
                  <c:v>11430</c:v>
                </c:pt>
              </c:numCache>
            </c:numRef>
          </c:val>
          <c:extLst>
            <c:ext xmlns:c16="http://schemas.microsoft.com/office/drawing/2014/chart" uri="{C3380CC4-5D6E-409C-BE32-E72D297353CC}">
              <c16:uniqueId val="{00000000-7177-4F3D-A0C1-349B4E6A0DB1}"/>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[VyaaparX_Monthly_Sales_analysis.xlsx]Logistical Analysis of orders!PivotTable6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'Logistical Analysis of orders'!$B$3</c:f>
              <c:strCache>
                <c:ptCount val="1"/>
                <c:pt idx="0">
                  <c:v>Total</c:v>
                </c:pt>
              </c:strCache>
            </c:strRef>
          </c:tx>
          <c:spPr>
            <a:ln w="28575" cap="rnd">
              <a:solidFill>
                <a:schemeClr val="accent1"/>
              </a:solidFill>
              <a:round/>
            </a:ln>
            <a:effectLst/>
          </c:spPr>
          <c:marker>
            <c:symbol val="none"/>
          </c:marker>
          <c:cat>
            <c:multiLvlStrRef>
              <c:f>'Logistical Analysis of orders'!$A$4:$A$39</c:f>
              <c:multiLvlStrCache>
                <c:ptCount val="33"/>
                <c:lvl>
                  <c:pt idx="0">
                    <c:v>Art and collections</c:v>
                  </c:pt>
                  <c:pt idx="1">
                    <c:v>Beverages</c:v>
                  </c:pt>
                  <c:pt idx="2">
                    <c:v>Books &amp; Stationeries</c:v>
                  </c:pt>
                  <c:pt idx="3">
                    <c:v>Confectionaries</c:v>
                  </c:pt>
                  <c:pt idx="4">
                    <c:v>Cosmetics</c:v>
                  </c:pt>
                  <c:pt idx="5">
                    <c:v>Drinkware</c:v>
                  </c:pt>
                  <c:pt idx="6">
                    <c:v>Electronics</c:v>
                  </c:pt>
                  <c:pt idx="7">
                    <c:v>Food and Beverages</c:v>
                  </c:pt>
                  <c:pt idx="8">
                    <c:v>Furniture</c:v>
                  </c:pt>
                  <c:pt idx="9">
                    <c:v>Hardware</c:v>
                  </c:pt>
                  <c:pt idx="10">
                    <c:v>Health &amp; Beauty</c:v>
                  </c:pt>
                  <c:pt idx="11">
                    <c:v>Home &amp; décor</c:v>
                  </c:pt>
                  <c:pt idx="12">
                    <c:v>Home and kitchen</c:v>
                  </c:pt>
                  <c:pt idx="13">
                    <c:v>Home and Lifestyle </c:v>
                  </c:pt>
                  <c:pt idx="14">
                    <c:v>Jewelry</c:v>
                  </c:pt>
                  <c:pt idx="15">
                    <c:v>Pet Supplies</c:v>
                  </c:pt>
                  <c:pt idx="16">
                    <c:v>Sports &amp; Fitness</c:v>
                  </c:pt>
                  <c:pt idx="17">
                    <c:v>Toys</c:v>
                  </c:pt>
                  <c:pt idx="18">
                    <c:v>Apparel</c:v>
                  </c:pt>
                  <c:pt idx="19">
                    <c:v>Art and collections</c:v>
                  </c:pt>
                  <c:pt idx="20">
                    <c:v>Automotive</c:v>
                  </c:pt>
                  <c:pt idx="21">
                    <c:v>Beverages</c:v>
                  </c:pt>
                  <c:pt idx="22">
                    <c:v>Books &amp; Stationeries</c:v>
                  </c:pt>
                  <c:pt idx="23">
                    <c:v>Cosmetics</c:v>
                  </c:pt>
                  <c:pt idx="24">
                    <c:v>Dry Fruits</c:v>
                  </c:pt>
                  <c:pt idx="25">
                    <c:v>Electronics</c:v>
                  </c:pt>
                  <c:pt idx="26">
                    <c:v>Fashion &amp; Acessories</c:v>
                  </c:pt>
                  <c:pt idx="27">
                    <c:v>Food and Beverages</c:v>
                  </c:pt>
                  <c:pt idx="28">
                    <c:v>Furniture</c:v>
                  </c:pt>
                  <c:pt idx="29">
                    <c:v>Hardware</c:v>
                  </c:pt>
                  <c:pt idx="30">
                    <c:v>Home &amp; décor</c:v>
                  </c:pt>
                  <c:pt idx="31">
                    <c:v>Home and kitchen</c:v>
                  </c:pt>
                  <c:pt idx="32">
                    <c:v>Sports &amp; Fitness</c:v>
                  </c:pt>
                </c:lvl>
                <c:lvl>
                  <c:pt idx="0">
                    <c:v>Delivered</c:v>
                  </c:pt>
                  <c:pt idx="18">
                    <c:v>Pending</c:v>
                  </c:pt>
                </c:lvl>
              </c:multiLvlStrCache>
            </c:multiLvlStrRef>
          </c:cat>
          <c:val>
            <c:numRef>
              <c:f>'Logistical Analysis of orders'!$B$4:$B$39</c:f>
              <c:numCache>
                <c:formatCode>_ [$₹-4009]\ * #,##0.00_ ;_ [$₹-4009]\ * \-#,##0.00_ ;_ [$₹-4009]\ * "-"??_ ;_ @_ </c:formatCode>
                <c:ptCount val="33"/>
                <c:pt idx="0">
                  <c:v>11340</c:v>
                </c:pt>
                <c:pt idx="1">
                  <c:v>85167.5</c:v>
                </c:pt>
                <c:pt idx="2">
                  <c:v>34778.1</c:v>
                </c:pt>
                <c:pt idx="3">
                  <c:v>4500</c:v>
                </c:pt>
                <c:pt idx="4">
                  <c:v>2250</c:v>
                </c:pt>
                <c:pt idx="5">
                  <c:v>48608</c:v>
                </c:pt>
                <c:pt idx="6">
                  <c:v>2261167.5</c:v>
                </c:pt>
                <c:pt idx="7">
                  <c:v>5110</c:v>
                </c:pt>
                <c:pt idx="8">
                  <c:v>51750</c:v>
                </c:pt>
                <c:pt idx="9">
                  <c:v>60074</c:v>
                </c:pt>
                <c:pt idx="10">
                  <c:v>6615</c:v>
                </c:pt>
                <c:pt idx="11">
                  <c:v>1340175</c:v>
                </c:pt>
                <c:pt idx="12">
                  <c:v>243170</c:v>
                </c:pt>
                <c:pt idx="13">
                  <c:v>4200</c:v>
                </c:pt>
                <c:pt idx="14">
                  <c:v>200000</c:v>
                </c:pt>
                <c:pt idx="15">
                  <c:v>48000</c:v>
                </c:pt>
                <c:pt idx="16">
                  <c:v>36400</c:v>
                </c:pt>
                <c:pt idx="17">
                  <c:v>65880</c:v>
                </c:pt>
                <c:pt idx="18">
                  <c:v>27720</c:v>
                </c:pt>
                <c:pt idx="19">
                  <c:v>4745317</c:v>
                </c:pt>
                <c:pt idx="20">
                  <c:v>465400</c:v>
                </c:pt>
                <c:pt idx="21">
                  <c:v>104980</c:v>
                </c:pt>
                <c:pt idx="22">
                  <c:v>45565</c:v>
                </c:pt>
                <c:pt idx="23">
                  <c:v>34500</c:v>
                </c:pt>
                <c:pt idx="24">
                  <c:v>17310</c:v>
                </c:pt>
                <c:pt idx="25">
                  <c:v>7559641.7000000002</c:v>
                </c:pt>
                <c:pt idx="26">
                  <c:v>601625</c:v>
                </c:pt>
                <c:pt idx="27">
                  <c:v>94770</c:v>
                </c:pt>
                <c:pt idx="28">
                  <c:v>137800</c:v>
                </c:pt>
                <c:pt idx="29">
                  <c:v>102210</c:v>
                </c:pt>
                <c:pt idx="30">
                  <c:v>2213205</c:v>
                </c:pt>
                <c:pt idx="31">
                  <c:v>98140</c:v>
                </c:pt>
                <c:pt idx="32">
                  <c:v>575900</c:v>
                </c:pt>
              </c:numCache>
            </c:numRef>
          </c:val>
          <c:smooth val="0"/>
          <c:extLst>
            <c:ext xmlns:c16="http://schemas.microsoft.com/office/drawing/2014/chart" uri="{C3380CC4-5D6E-409C-BE32-E72D297353CC}">
              <c16:uniqueId val="{00000000-A72C-48E6-97EF-0BF91704FC11}"/>
            </c:ext>
          </c:extLst>
        </c:ser>
        <c:dLbls>
          <c:showLegendKey val="0"/>
          <c:showVal val="0"/>
          <c:showCatName val="0"/>
          <c:showSerName val="0"/>
          <c:showPercent val="0"/>
          <c:showBubbleSize val="0"/>
        </c:dLbls>
        <c:smooth val="0"/>
        <c:axId val="459206848"/>
        <c:axId val="207476672"/>
      </c:lineChart>
      <c:catAx>
        <c:axId val="459206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476672"/>
        <c:crosses val="autoZero"/>
        <c:auto val="1"/>
        <c:lblAlgn val="ctr"/>
        <c:lblOffset val="100"/>
        <c:noMultiLvlLbl val="0"/>
      </c:catAx>
      <c:valAx>
        <c:axId val="207476672"/>
        <c:scaling>
          <c:orientation val="minMax"/>
        </c:scaling>
        <c:delete val="0"/>
        <c:axPos val="l"/>
        <c:majorGridlines>
          <c:spPr>
            <a:ln w="9525" cap="flat" cmpd="sng" algn="ctr">
              <a:solidFill>
                <a:schemeClr val="tx1">
                  <a:lumMod val="15000"/>
                  <a:lumOff val="85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206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[VyaaparX_Monthly_Sales_analysis.xlsx]Share of each type of customer!PivotTable10</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'Share of each type of customer'!$B$3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E76-4F89-8DE6-BC88B009D3E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E76-4F89-8DE6-BC88B009D3E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E76-4F89-8DE6-BC88B009D3EB}"/>
              </c:ext>
            </c:extLst>
          </c:dPt>
          <c:cat>
            <c:strRef>
              <c:f>'Share of each type of customer'!$A$4:$A$7</c:f>
              <c:strCache>
                <c:ptCount val="3"/>
                <c:pt idx="0">
                  <c:v>Senior Citizen</c:v>
                </c:pt>
                <c:pt idx="1">
                  <c:v>student</c:v>
                </c:pt>
                <c:pt idx="2">
                  <c:v>working adults</c:v>
                </c:pt>
              </c:strCache>
            </c:strRef>
          </c:cat>
          <c:val>
            <c:numRef>
              <c:f>'Share of each type of customer'!$B$4:$B$7</c:f>
              <c:numCache>
                <c:formatCode>_ [$₹-4009]\ * #,##0.00_ ;_ [$₹-4009]\ * \-#,##0.00_ ;_ [$₹-4009]\ * "-"??_ ;_ @_ </c:formatCode>
                <c:ptCount val="3"/>
                <c:pt idx="0">
                  <c:v>581820</c:v>
                </c:pt>
                <c:pt idx="1">
                  <c:v>2983911.8</c:v>
                </c:pt>
                <c:pt idx="2">
                  <c:v>17767537</c:v>
                </c:pt>
              </c:numCache>
            </c:numRef>
          </c:val>
          <c:extLst>
            <c:ext xmlns:c16="http://schemas.microsoft.com/office/drawing/2014/chart" uri="{C3380CC4-5D6E-409C-BE32-E72D297353CC}">
              <c16:uniqueId val="{00000000-4AA2-4627-AD1E-5B78F01641C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[VyaaparX_Monthly_Sales_analysis.xlsx]Number of orders per state!PivotTable18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1"/>
          </a:solidFill>
          <a:ln>
            <a:noFill/>
          </a:ln>
          <a:effectLst/>
        </c:spPr>
      </c:pivotFmt>
      <c:pivotFmt>
        <c:idx val="36"/>
        <c:spPr>
          <a:solidFill>
            <a:schemeClr val="accent1"/>
          </a:solidFill>
          <a:ln>
            <a:noFill/>
          </a:ln>
          <a:effectLst/>
        </c:spPr>
      </c:pivotFmt>
    </c:pivotFmts>
    <c:plotArea>
      <c:layout/>
      <c:ofPieChart>
        <c:ofPieType val="pie"/>
        <c:varyColors val="1"/>
        <c:ser>
          <c:idx val="0"/>
          <c:order val="0"/>
          <c:tx>
            <c:strRef>
              <c:f>'Number of orders per state'!$B$3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9C09-41B5-9B7F-5E1ACE44BCD7}"/>
              </c:ext>
            </c:extLst>
          </c:dPt>
          <c:dPt>
            <c:idx val="1"/>
            <c:bubble3D val="0"/>
            <c:spPr>
              <a:solidFill>
                <a:schemeClr val="accent2"/>
              </a:solidFill>
              <a:ln>
                <a:noFill/>
              </a:ln>
              <a:effectLst/>
            </c:spPr>
            <c:extLst>
              <c:ext xmlns:c16="http://schemas.microsoft.com/office/drawing/2014/chart" uri="{C3380CC4-5D6E-409C-BE32-E72D297353CC}">
                <c16:uniqueId val="{00000003-9C09-41B5-9B7F-5E1ACE44BCD7}"/>
              </c:ext>
            </c:extLst>
          </c:dPt>
          <c:dPt>
            <c:idx val="2"/>
            <c:bubble3D val="0"/>
            <c:spPr>
              <a:solidFill>
                <a:schemeClr val="accent3"/>
              </a:solidFill>
              <a:ln>
                <a:noFill/>
              </a:ln>
              <a:effectLst/>
            </c:spPr>
            <c:extLst>
              <c:ext xmlns:c16="http://schemas.microsoft.com/office/drawing/2014/chart" uri="{C3380CC4-5D6E-409C-BE32-E72D297353CC}">
                <c16:uniqueId val="{00000005-9C09-41B5-9B7F-5E1ACE44BCD7}"/>
              </c:ext>
            </c:extLst>
          </c:dPt>
          <c:dPt>
            <c:idx val="3"/>
            <c:bubble3D val="0"/>
            <c:spPr>
              <a:solidFill>
                <a:schemeClr val="accent4"/>
              </a:solidFill>
              <a:ln>
                <a:noFill/>
              </a:ln>
              <a:effectLst/>
            </c:spPr>
            <c:extLst>
              <c:ext xmlns:c16="http://schemas.microsoft.com/office/drawing/2014/chart" uri="{C3380CC4-5D6E-409C-BE32-E72D297353CC}">
                <c16:uniqueId val="{00000007-9C09-41B5-9B7F-5E1ACE44BCD7}"/>
              </c:ext>
            </c:extLst>
          </c:dPt>
          <c:dPt>
            <c:idx val="4"/>
            <c:bubble3D val="0"/>
            <c:spPr>
              <a:solidFill>
                <a:schemeClr val="accent5"/>
              </a:solidFill>
              <a:ln>
                <a:noFill/>
              </a:ln>
              <a:effectLst/>
            </c:spPr>
            <c:extLst>
              <c:ext xmlns:c16="http://schemas.microsoft.com/office/drawing/2014/chart" uri="{C3380CC4-5D6E-409C-BE32-E72D297353CC}">
                <c16:uniqueId val="{00000009-9C09-41B5-9B7F-5E1ACE44BCD7}"/>
              </c:ext>
            </c:extLst>
          </c:dPt>
          <c:dPt>
            <c:idx val="5"/>
            <c:bubble3D val="0"/>
            <c:spPr>
              <a:solidFill>
                <a:schemeClr val="accent6"/>
              </a:solidFill>
              <a:ln>
                <a:noFill/>
              </a:ln>
              <a:effectLst/>
            </c:spPr>
            <c:extLst>
              <c:ext xmlns:c16="http://schemas.microsoft.com/office/drawing/2014/chart" uri="{C3380CC4-5D6E-409C-BE32-E72D297353CC}">
                <c16:uniqueId val="{0000000B-9C09-41B5-9B7F-5E1ACE44BCD7}"/>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9C09-41B5-9B7F-5E1ACE44BCD7}"/>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9C09-41B5-9B7F-5E1ACE44BCD7}"/>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9C09-41B5-9B7F-5E1ACE44BCD7}"/>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9C09-41B5-9B7F-5E1ACE44BCD7}"/>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15-9C09-41B5-9B7F-5E1ACE44BCD7}"/>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017-9C09-41B5-9B7F-5E1ACE44BCD7}"/>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019-9C09-41B5-9B7F-5E1ACE44BCD7}"/>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01B-9C09-41B5-9B7F-5E1ACE44BCD7}"/>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01D-9C09-41B5-9B7F-5E1ACE44BCD7}"/>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01F-9C09-41B5-9B7F-5E1ACE44BCD7}"/>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021-9C09-41B5-9B7F-5E1ACE44BCD7}"/>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023-9C09-41B5-9B7F-5E1ACE44BCD7}"/>
              </c:ext>
            </c:extLst>
          </c:dPt>
          <c:dPt>
            <c:idx val="18"/>
            <c:bubble3D val="0"/>
            <c:spPr>
              <a:solidFill>
                <a:schemeClr val="accent1">
                  <a:lumMod val="80000"/>
                </a:schemeClr>
              </a:solidFill>
              <a:ln>
                <a:noFill/>
              </a:ln>
              <a:effectLst/>
            </c:spPr>
            <c:extLst>
              <c:ext xmlns:c16="http://schemas.microsoft.com/office/drawing/2014/chart" uri="{C3380CC4-5D6E-409C-BE32-E72D297353CC}">
                <c16:uniqueId val="{00000025-9C09-41B5-9B7F-5E1ACE44BCD7}"/>
              </c:ext>
            </c:extLst>
          </c:dPt>
          <c:cat>
            <c:strRef>
              <c:f>'Number of orders per state'!$A$4:$A$22</c:f>
              <c:strCache>
                <c:ptCount val="18"/>
                <c:pt idx="0">
                  <c:v>Andhra Pradesh</c:v>
                </c:pt>
                <c:pt idx="1">
                  <c:v>Bihar</c:v>
                </c:pt>
                <c:pt idx="2">
                  <c:v>Delhi</c:v>
                </c:pt>
                <c:pt idx="3">
                  <c:v>Gujrat</c:v>
                </c:pt>
                <c:pt idx="4">
                  <c:v>Haryana</c:v>
                </c:pt>
                <c:pt idx="5">
                  <c:v>Himachal Pradesh</c:v>
                </c:pt>
                <c:pt idx="6">
                  <c:v>Jammu &amp; Kashmir</c:v>
                </c:pt>
                <c:pt idx="7">
                  <c:v>Karnataka</c:v>
                </c:pt>
                <c:pt idx="8">
                  <c:v>Kerala</c:v>
                </c:pt>
                <c:pt idx="9">
                  <c:v>Maharashtra</c:v>
                </c:pt>
                <c:pt idx="10">
                  <c:v>Mizoram</c:v>
                </c:pt>
                <c:pt idx="11">
                  <c:v>Punjab</c:v>
                </c:pt>
                <c:pt idx="12">
                  <c:v>Rajasthan</c:v>
                </c:pt>
                <c:pt idx="13">
                  <c:v>Tamil Nadu</c:v>
                </c:pt>
                <c:pt idx="14">
                  <c:v>Tripura</c:v>
                </c:pt>
                <c:pt idx="15">
                  <c:v>Uttar Pradesh</c:v>
                </c:pt>
                <c:pt idx="16">
                  <c:v>Uttarakhand</c:v>
                </c:pt>
                <c:pt idx="17">
                  <c:v>West Bengal</c:v>
                </c:pt>
              </c:strCache>
            </c:strRef>
          </c:cat>
          <c:val>
            <c:numRef>
              <c:f>'Number of orders per state'!$B$4:$B$22</c:f>
              <c:numCache>
                <c:formatCode>General</c:formatCode>
                <c:ptCount val="18"/>
                <c:pt idx="0">
                  <c:v>7</c:v>
                </c:pt>
                <c:pt idx="1">
                  <c:v>1</c:v>
                </c:pt>
                <c:pt idx="2">
                  <c:v>31</c:v>
                </c:pt>
                <c:pt idx="3">
                  <c:v>7</c:v>
                </c:pt>
                <c:pt idx="4">
                  <c:v>71</c:v>
                </c:pt>
                <c:pt idx="5">
                  <c:v>1</c:v>
                </c:pt>
                <c:pt idx="6">
                  <c:v>3</c:v>
                </c:pt>
                <c:pt idx="7">
                  <c:v>5</c:v>
                </c:pt>
                <c:pt idx="8">
                  <c:v>2</c:v>
                </c:pt>
                <c:pt idx="9">
                  <c:v>12</c:v>
                </c:pt>
                <c:pt idx="10">
                  <c:v>1</c:v>
                </c:pt>
                <c:pt idx="11">
                  <c:v>4</c:v>
                </c:pt>
                <c:pt idx="12">
                  <c:v>3</c:v>
                </c:pt>
                <c:pt idx="13">
                  <c:v>5</c:v>
                </c:pt>
                <c:pt idx="14">
                  <c:v>1</c:v>
                </c:pt>
                <c:pt idx="15">
                  <c:v>38</c:v>
                </c:pt>
                <c:pt idx="16">
                  <c:v>1</c:v>
                </c:pt>
                <c:pt idx="17">
                  <c:v>7</c:v>
                </c:pt>
              </c:numCache>
            </c:numRef>
          </c:val>
          <c:extLst>
            <c:ext xmlns:c16="http://schemas.microsoft.com/office/drawing/2014/chart" uri="{C3380CC4-5D6E-409C-BE32-E72D297353CC}">
              <c16:uniqueId val="{00000000-57D2-4218-B9E3-79D342B68110}"/>
            </c:ext>
          </c:extLst>
        </c:ser>
        <c:dLbls>
          <c:showLegendKey val="0"/>
          <c:showVal val="0"/>
          <c:showCatName val="0"/>
          <c:showSerName val="0"/>
          <c:showPercent val="0"/>
          <c:showBubbleSize val="0"/>
          <c:showLeaderLines val="1"/>
        </c:dLbls>
        <c:gapWidth val="15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[VyaaparX_Monthly_Sales_analysis.xlsx]Share of each age group!PivotTable15</c:name>
    <c:fmtId val="0"/>
  </c:pivotSource>
  <c:chart>
    <c:title>
      <c:layout>
        <c:manualLayout>
          <c:xMode val="edge"/>
          <c:yMode val="edge"/>
          <c:x val="0.32768044619422571"/>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pivotFmt>
      <c:pivotFmt>
        <c:idx val="36"/>
        <c:spPr>
          <a:solidFill>
            <a:schemeClr val="accent1"/>
          </a:solidFill>
          <a:ln w="25400">
            <a:solidFill>
              <a:schemeClr val="lt1"/>
            </a:solidFill>
          </a:ln>
          <a:effectLst/>
          <a:sp3d contourW="25400">
            <a:contourClr>
              <a:schemeClr val="lt1"/>
            </a:contourClr>
          </a:sp3d>
        </c:spPr>
      </c:pivotFmt>
      <c:pivotFmt>
        <c:idx val="37"/>
        <c:spPr>
          <a:solidFill>
            <a:schemeClr val="accent1"/>
          </a:solidFill>
          <a:ln w="25400">
            <a:solidFill>
              <a:schemeClr val="lt1"/>
            </a:solidFill>
          </a:ln>
          <a:effectLst/>
          <a:sp3d contourW="25400">
            <a:contourClr>
              <a:schemeClr val="lt1"/>
            </a:contourClr>
          </a:sp3d>
        </c:spPr>
      </c:pivotFmt>
      <c:pivotFmt>
        <c:idx val="38"/>
        <c:spPr>
          <a:solidFill>
            <a:schemeClr val="accent1"/>
          </a:solidFill>
          <a:ln w="25400">
            <a:solidFill>
              <a:schemeClr val="lt1"/>
            </a:solidFill>
          </a:ln>
          <a:effectLst/>
          <a:sp3d contourW="25400">
            <a:contourClr>
              <a:schemeClr val="lt1"/>
            </a:contourClr>
          </a:sp3d>
        </c:spPr>
      </c:pivotFmt>
      <c:pivotFmt>
        <c:idx val="39"/>
        <c:spPr>
          <a:solidFill>
            <a:schemeClr val="accent1"/>
          </a:solidFill>
          <a:ln w="25400">
            <a:solidFill>
              <a:schemeClr val="lt1"/>
            </a:solidFill>
          </a:ln>
          <a:effectLst/>
          <a:sp3d contourW="25400">
            <a:contourClr>
              <a:schemeClr val="lt1"/>
            </a:contourClr>
          </a:sp3d>
        </c:spPr>
      </c:pivotFmt>
      <c:pivotFmt>
        <c:idx val="40"/>
        <c:spPr>
          <a:solidFill>
            <a:schemeClr val="accent1"/>
          </a:solidFill>
          <a:ln w="25400">
            <a:solidFill>
              <a:schemeClr val="lt1"/>
            </a:solidFill>
          </a:ln>
          <a:effectLst/>
          <a:sp3d contourW="25400">
            <a:contourClr>
              <a:schemeClr val="lt1"/>
            </a:contourClr>
          </a:sp3d>
        </c:spPr>
      </c:pivotFmt>
      <c:pivotFmt>
        <c:idx val="41"/>
        <c:spPr>
          <a:solidFill>
            <a:schemeClr val="accent1"/>
          </a:solidFill>
          <a:ln w="25400">
            <a:solidFill>
              <a:schemeClr val="lt1"/>
            </a:solidFill>
          </a:ln>
          <a:effectLst/>
          <a:sp3d contourW="25400">
            <a:contourClr>
              <a:schemeClr val="lt1"/>
            </a:contourClr>
          </a:sp3d>
        </c:spPr>
      </c:pivotFmt>
      <c:pivotFmt>
        <c:idx val="42"/>
        <c:spPr>
          <a:solidFill>
            <a:schemeClr val="accent1"/>
          </a:solidFill>
          <a:ln w="25400">
            <a:solidFill>
              <a:schemeClr val="lt1"/>
            </a:solidFill>
          </a:ln>
          <a:effectLst/>
          <a:sp3d contourW="25400">
            <a:contourClr>
              <a:schemeClr val="lt1"/>
            </a:contourClr>
          </a:sp3d>
        </c:spPr>
      </c:pivotFmt>
      <c:pivotFmt>
        <c:idx val="43"/>
        <c:spPr>
          <a:solidFill>
            <a:schemeClr val="accent1"/>
          </a:solidFill>
          <a:ln w="25400">
            <a:solidFill>
              <a:schemeClr val="lt1"/>
            </a:solidFill>
          </a:ln>
          <a:effectLst/>
          <a:sp3d contourW="25400">
            <a:contourClr>
              <a:schemeClr val="lt1"/>
            </a:contourClr>
          </a:sp3d>
        </c:spPr>
      </c:pivotFmt>
      <c:pivotFmt>
        <c:idx val="44"/>
        <c:spPr>
          <a:solidFill>
            <a:schemeClr val="accent1"/>
          </a:solidFill>
          <a:ln w="25400">
            <a:solidFill>
              <a:schemeClr val="lt1"/>
            </a:solidFill>
          </a:ln>
          <a:effectLst/>
          <a:sp3d contourW="25400">
            <a:contourClr>
              <a:schemeClr val="lt1"/>
            </a:contourClr>
          </a:sp3d>
        </c:spPr>
      </c:pivotFmt>
      <c:pivotFmt>
        <c:idx val="45"/>
        <c:spPr>
          <a:solidFill>
            <a:schemeClr val="accent1"/>
          </a:solidFill>
          <a:ln w="25400">
            <a:solidFill>
              <a:schemeClr val="lt1"/>
            </a:solidFill>
          </a:ln>
          <a:effectLst/>
          <a:sp3d contourW="25400">
            <a:contourClr>
              <a:schemeClr val="lt1"/>
            </a:contourClr>
          </a:sp3d>
        </c:spPr>
      </c:pivotFmt>
      <c:pivotFmt>
        <c:idx val="46"/>
        <c:spPr>
          <a:solidFill>
            <a:schemeClr val="accent1"/>
          </a:solidFill>
          <a:ln w="25400">
            <a:solidFill>
              <a:schemeClr val="lt1"/>
            </a:solidFill>
          </a:ln>
          <a:effectLst/>
          <a:sp3d contourW="25400">
            <a:contourClr>
              <a:schemeClr val="lt1"/>
            </a:contourClr>
          </a:sp3d>
        </c:spPr>
      </c:pivotFmt>
      <c:pivotFmt>
        <c:idx val="47"/>
        <c:spPr>
          <a:solidFill>
            <a:schemeClr val="accent1"/>
          </a:solidFill>
          <a:ln w="25400">
            <a:solidFill>
              <a:schemeClr val="lt1"/>
            </a:solidFill>
          </a:ln>
          <a:effectLst/>
          <a:sp3d contourW="25400">
            <a:contourClr>
              <a:schemeClr val="lt1"/>
            </a:contourClr>
          </a:sp3d>
        </c:spPr>
      </c:pivotFmt>
      <c:pivotFmt>
        <c:idx val="48"/>
        <c:spPr>
          <a:solidFill>
            <a:schemeClr val="accent1"/>
          </a:solidFill>
          <a:ln w="25400">
            <a:solidFill>
              <a:schemeClr val="lt1"/>
            </a:solidFill>
          </a:ln>
          <a:effectLst/>
          <a:sp3d contourW="25400">
            <a:contourClr>
              <a:schemeClr val="lt1"/>
            </a:contourClr>
          </a:sp3d>
        </c:spPr>
      </c:pivotFmt>
      <c:pivotFmt>
        <c:idx val="49"/>
        <c:spPr>
          <a:solidFill>
            <a:schemeClr val="accent1"/>
          </a:solidFill>
          <a:ln w="25400">
            <a:solidFill>
              <a:schemeClr val="lt1"/>
            </a:solidFill>
          </a:ln>
          <a:effectLst/>
          <a:sp3d contourW="25400">
            <a:contourClr>
              <a:schemeClr val="lt1"/>
            </a:contourClr>
          </a:sp3d>
        </c:spPr>
      </c:pivotFmt>
      <c:pivotFmt>
        <c:idx val="50"/>
        <c:spPr>
          <a:solidFill>
            <a:schemeClr val="accent1"/>
          </a:solidFill>
          <a:ln w="25400">
            <a:solidFill>
              <a:schemeClr val="lt1"/>
            </a:solidFill>
          </a:ln>
          <a:effectLst/>
          <a:sp3d contourW="25400">
            <a:contourClr>
              <a:schemeClr val="lt1"/>
            </a:contourClr>
          </a:sp3d>
        </c:spPr>
      </c:pivotFmt>
      <c:pivotFmt>
        <c:idx val="51"/>
        <c:spPr>
          <a:solidFill>
            <a:schemeClr val="accent1"/>
          </a:solidFill>
          <a:ln w="25400">
            <a:solidFill>
              <a:schemeClr val="lt1"/>
            </a:solidFill>
          </a:ln>
          <a:effectLst/>
          <a:sp3d contourW="25400">
            <a:contourClr>
              <a:schemeClr val="lt1"/>
            </a:contourClr>
          </a:sp3d>
        </c:spPr>
      </c:pivotFmt>
      <c:pivotFmt>
        <c:idx val="52"/>
        <c:spPr>
          <a:solidFill>
            <a:schemeClr val="accent1"/>
          </a:solidFill>
          <a:ln w="25400">
            <a:solidFill>
              <a:schemeClr val="lt1"/>
            </a:solidFill>
          </a:ln>
          <a:effectLst/>
          <a:sp3d contourW="25400">
            <a:contourClr>
              <a:schemeClr val="lt1"/>
            </a:contourClr>
          </a:sp3d>
        </c:spPr>
      </c:pivotFmt>
      <c:pivotFmt>
        <c:idx val="53"/>
        <c:spPr>
          <a:solidFill>
            <a:schemeClr val="accent1"/>
          </a:solidFill>
          <a:ln w="25400">
            <a:solidFill>
              <a:schemeClr val="lt1"/>
            </a:solidFill>
          </a:ln>
          <a:effectLst/>
          <a:sp3d contourW="25400">
            <a:contourClr>
              <a:schemeClr val="lt1"/>
            </a:contourClr>
          </a:sp3d>
        </c:spPr>
      </c:pivotFmt>
      <c:pivotFmt>
        <c:idx val="54"/>
        <c:spPr>
          <a:solidFill>
            <a:schemeClr val="accent1"/>
          </a:solidFill>
          <a:ln w="25400">
            <a:solidFill>
              <a:schemeClr val="lt1"/>
            </a:solidFill>
          </a:ln>
          <a:effectLst/>
          <a:sp3d contourW="25400">
            <a:contourClr>
              <a:schemeClr val="lt1"/>
            </a:contourClr>
          </a:sp3d>
        </c:spPr>
      </c:pivotFmt>
      <c:pivotFmt>
        <c:idx val="55"/>
        <c:spPr>
          <a:solidFill>
            <a:schemeClr val="accent1"/>
          </a:solidFill>
          <a:ln w="25400">
            <a:solidFill>
              <a:schemeClr val="lt1"/>
            </a:solidFill>
          </a:ln>
          <a:effectLst/>
          <a:sp3d contourW="25400">
            <a:contourClr>
              <a:schemeClr val="lt1"/>
            </a:contourClr>
          </a:sp3d>
        </c:spPr>
      </c:pivotFmt>
      <c:pivotFmt>
        <c:idx val="56"/>
        <c:spPr>
          <a:solidFill>
            <a:schemeClr val="accent1"/>
          </a:solidFill>
          <a:ln w="25400">
            <a:solidFill>
              <a:schemeClr val="lt1"/>
            </a:solidFill>
          </a:ln>
          <a:effectLst/>
          <a:sp3d contourW="25400">
            <a:contourClr>
              <a:schemeClr val="lt1"/>
            </a:contourClr>
          </a:sp3d>
        </c:spPr>
      </c:pivotFmt>
      <c:pivotFmt>
        <c:idx val="57"/>
        <c:spPr>
          <a:solidFill>
            <a:schemeClr val="accent1"/>
          </a:solidFill>
          <a:ln w="25400">
            <a:solidFill>
              <a:schemeClr val="lt1"/>
            </a:solidFill>
          </a:ln>
          <a:effectLst/>
          <a:sp3d contourW="25400">
            <a:contourClr>
              <a:schemeClr val="lt1"/>
            </a:contourClr>
          </a:sp3d>
        </c:spPr>
      </c:pivotFmt>
      <c:pivotFmt>
        <c:idx val="58"/>
        <c:spPr>
          <a:solidFill>
            <a:schemeClr val="accent1"/>
          </a:solidFill>
          <a:ln w="25400">
            <a:solidFill>
              <a:schemeClr val="lt1"/>
            </a:solidFill>
          </a:ln>
          <a:effectLst/>
          <a:sp3d contourW="25400">
            <a:contourClr>
              <a:schemeClr val="lt1"/>
            </a:contourClr>
          </a:sp3d>
        </c:spPr>
      </c:pivotFmt>
      <c:pivotFmt>
        <c:idx val="59"/>
        <c:spPr>
          <a:solidFill>
            <a:schemeClr val="accent1"/>
          </a:solidFill>
          <a:ln w="25400">
            <a:solidFill>
              <a:schemeClr val="lt1"/>
            </a:solidFill>
          </a:ln>
          <a:effectLst/>
          <a:sp3d contourW="25400">
            <a:contourClr>
              <a:schemeClr val="lt1"/>
            </a:contourClr>
          </a:sp3d>
        </c:spPr>
      </c:pivotFmt>
      <c:pivotFmt>
        <c:idx val="60"/>
        <c:spPr>
          <a:solidFill>
            <a:schemeClr val="accent1"/>
          </a:solidFill>
          <a:ln w="25400">
            <a:solidFill>
              <a:schemeClr val="lt1"/>
            </a:solidFill>
          </a:ln>
          <a:effectLst/>
          <a:sp3d contourW="25400">
            <a:contourClr>
              <a:schemeClr val="lt1"/>
            </a:contourClr>
          </a:sp3d>
        </c:spPr>
      </c:pivotFmt>
      <c:pivotFmt>
        <c:idx val="61"/>
        <c:spPr>
          <a:solidFill>
            <a:schemeClr val="accent1"/>
          </a:solidFill>
          <a:ln w="25400">
            <a:solidFill>
              <a:schemeClr val="lt1"/>
            </a:solidFill>
          </a:ln>
          <a:effectLst/>
          <a:sp3d contourW="25400">
            <a:contourClr>
              <a:schemeClr val="lt1"/>
            </a:contourClr>
          </a:sp3d>
        </c:spPr>
      </c:pivotFmt>
      <c:pivotFmt>
        <c:idx val="62"/>
        <c:spPr>
          <a:solidFill>
            <a:schemeClr val="accent1"/>
          </a:solidFill>
          <a:ln w="25400">
            <a:solidFill>
              <a:schemeClr val="lt1"/>
            </a:solidFill>
          </a:ln>
          <a:effectLst/>
          <a:sp3d contourW="25400">
            <a:contourClr>
              <a:schemeClr val="lt1"/>
            </a:contourClr>
          </a:sp3d>
        </c:spPr>
      </c:pivotFmt>
      <c:pivotFmt>
        <c:idx val="63"/>
        <c:spPr>
          <a:solidFill>
            <a:schemeClr val="accent1"/>
          </a:solidFill>
          <a:ln w="25400">
            <a:solidFill>
              <a:schemeClr val="lt1"/>
            </a:solidFill>
          </a:ln>
          <a:effectLst/>
          <a:sp3d contourW="25400">
            <a:contourClr>
              <a:schemeClr val="lt1"/>
            </a:contourClr>
          </a:sp3d>
        </c:spPr>
      </c:pivotFmt>
      <c:pivotFmt>
        <c:idx val="64"/>
        <c:spPr>
          <a:solidFill>
            <a:schemeClr val="accent1"/>
          </a:solidFill>
          <a:ln w="25400">
            <a:solidFill>
              <a:schemeClr val="lt1"/>
            </a:solidFill>
          </a:ln>
          <a:effectLst/>
          <a:sp3d contourW="25400">
            <a:contourClr>
              <a:schemeClr val="lt1"/>
            </a:contourClr>
          </a:sp3d>
        </c:spPr>
      </c:pivotFmt>
      <c:pivotFmt>
        <c:idx val="65"/>
        <c:spPr>
          <a:solidFill>
            <a:schemeClr val="accent1"/>
          </a:solidFill>
          <a:ln w="25400">
            <a:solidFill>
              <a:schemeClr val="lt1"/>
            </a:solidFill>
          </a:ln>
          <a:effectLst/>
          <a:sp3d contourW="25400">
            <a:contourClr>
              <a:schemeClr val="lt1"/>
            </a:contourClr>
          </a:sp3d>
        </c:spPr>
      </c:pivotFmt>
      <c:pivotFmt>
        <c:idx val="66"/>
        <c:spPr>
          <a:solidFill>
            <a:schemeClr val="accent1"/>
          </a:solidFill>
          <a:ln w="25400">
            <a:solidFill>
              <a:schemeClr val="lt1"/>
            </a:solidFill>
          </a:ln>
          <a:effectLst/>
          <a:sp3d contourW="25400">
            <a:contourClr>
              <a:schemeClr val="lt1"/>
            </a:contourClr>
          </a:sp3d>
        </c:spPr>
      </c:pivotFmt>
      <c:pivotFmt>
        <c:idx val="67"/>
        <c:spPr>
          <a:solidFill>
            <a:schemeClr val="accent1"/>
          </a:solidFill>
          <a:ln w="25400">
            <a:solidFill>
              <a:schemeClr val="lt1"/>
            </a:solidFill>
          </a:ln>
          <a:effectLst/>
          <a:sp3d contourW="25400">
            <a:contourClr>
              <a:schemeClr val="lt1"/>
            </a:contourClr>
          </a:sp3d>
        </c:spPr>
      </c:pivotFmt>
      <c:pivotFmt>
        <c:idx val="68"/>
        <c:spPr>
          <a:solidFill>
            <a:schemeClr val="accent1"/>
          </a:solidFill>
          <a:ln w="25400">
            <a:solidFill>
              <a:schemeClr val="lt1"/>
            </a:solidFill>
          </a:ln>
          <a:effectLst/>
          <a:sp3d contourW="25400">
            <a:contourClr>
              <a:schemeClr val="lt1"/>
            </a:contourClr>
          </a:sp3d>
        </c:spPr>
      </c:pivotFmt>
      <c:pivotFmt>
        <c:idx val="69"/>
        <c:spPr>
          <a:solidFill>
            <a:schemeClr val="accent1"/>
          </a:solidFill>
          <a:ln w="25400">
            <a:solidFill>
              <a:schemeClr val="lt1"/>
            </a:solidFill>
          </a:ln>
          <a:effectLst/>
          <a:sp3d contourW="25400">
            <a:contourClr>
              <a:schemeClr val="lt1"/>
            </a:contourClr>
          </a:sp3d>
        </c:spPr>
      </c:pivotFmt>
      <c:pivotFmt>
        <c:idx val="70"/>
        <c:spPr>
          <a:solidFill>
            <a:schemeClr val="accent1"/>
          </a:solidFill>
          <a:ln w="25400">
            <a:solidFill>
              <a:schemeClr val="lt1"/>
            </a:solidFill>
          </a:ln>
          <a:effectLst/>
          <a:sp3d contourW="25400">
            <a:contourClr>
              <a:schemeClr val="lt1"/>
            </a:contourClr>
          </a:sp3d>
        </c:spPr>
      </c:pivotFmt>
      <c:pivotFmt>
        <c:idx val="71"/>
        <c:spPr>
          <a:solidFill>
            <a:schemeClr val="accent1"/>
          </a:solidFill>
          <a:ln w="25400">
            <a:solidFill>
              <a:schemeClr val="lt1"/>
            </a:solidFill>
          </a:ln>
          <a:effectLst/>
          <a:sp3d contourW="25400">
            <a:contourClr>
              <a:schemeClr val="lt1"/>
            </a:contourClr>
          </a:sp3d>
        </c:spPr>
      </c:pivotFmt>
      <c:pivotFmt>
        <c:idx val="72"/>
        <c:spPr>
          <a:solidFill>
            <a:schemeClr val="accent1"/>
          </a:solidFill>
          <a:ln w="25400">
            <a:solidFill>
              <a:schemeClr val="lt1"/>
            </a:solidFill>
          </a:ln>
          <a:effectLst/>
          <a:sp3d contourW="25400">
            <a:contourClr>
              <a:schemeClr val="lt1"/>
            </a:contourClr>
          </a:sp3d>
        </c:spPr>
      </c:pivotFmt>
      <c:pivotFmt>
        <c:idx val="73"/>
        <c:spPr>
          <a:solidFill>
            <a:schemeClr val="accent1"/>
          </a:solidFill>
          <a:ln w="25400">
            <a:solidFill>
              <a:schemeClr val="lt1"/>
            </a:solidFill>
          </a:ln>
          <a:effectLst/>
          <a:sp3d contourW="25400">
            <a:contourClr>
              <a:schemeClr val="lt1"/>
            </a:contourClr>
          </a:sp3d>
        </c:spPr>
      </c:pivotFmt>
      <c:pivotFmt>
        <c:idx val="74"/>
        <c:spPr>
          <a:solidFill>
            <a:schemeClr val="accent1"/>
          </a:solidFill>
          <a:ln w="25400">
            <a:solidFill>
              <a:schemeClr val="lt1"/>
            </a:solidFill>
          </a:ln>
          <a:effectLst/>
          <a:sp3d contourW="25400">
            <a:contourClr>
              <a:schemeClr val="lt1"/>
            </a:contourClr>
          </a:sp3d>
        </c:spPr>
      </c:pivotFmt>
      <c:pivotFmt>
        <c:idx val="75"/>
        <c:spPr>
          <a:solidFill>
            <a:schemeClr val="accent1"/>
          </a:solidFill>
          <a:ln w="25400">
            <a:solidFill>
              <a:schemeClr val="lt1"/>
            </a:solidFill>
          </a:ln>
          <a:effectLst/>
          <a:sp3d contourW="25400">
            <a:contourClr>
              <a:schemeClr val="lt1"/>
            </a:contourClr>
          </a:sp3d>
        </c:spPr>
      </c:pivotFmt>
      <c:pivotFmt>
        <c:idx val="76"/>
        <c:spPr>
          <a:solidFill>
            <a:schemeClr val="accent1"/>
          </a:solidFill>
          <a:ln w="25400">
            <a:solidFill>
              <a:schemeClr val="lt1"/>
            </a:solidFill>
          </a:ln>
          <a:effectLst/>
          <a:sp3d contourW="25400">
            <a:contourClr>
              <a:schemeClr val="lt1"/>
            </a:contourClr>
          </a:sp3d>
        </c:spPr>
      </c:pivotFmt>
      <c:pivotFmt>
        <c:idx val="77"/>
        <c:spPr>
          <a:solidFill>
            <a:schemeClr val="accent1"/>
          </a:solidFill>
          <a:ln w="25400">
            <a:solidFill>
              <a:schemeClr val="lt1"/>
            </a:solidFill>
          </a:ln>
          <a:effectLst/>
          <a:sp3d contourW="25400">
            <a:contourClr>
              <a:schemeClr val="lt1"/>
            </a:contourClr>
          </a:sp3d>
        </c:spPr>
      </c:pivotFmt>
      <c:pivotFmt>
        <c:idx val="78"/>
        <c:spPr>
          <a:solidFill>
            <a:schemeClr val="accent1"/>
          </a:solidFill>
          <a:ln w="25400">
            <a:solidFill>
              <a:schemeClr val="lt1"/>
            </a:solidFill>
          </a:ln>
          <a:effectLst/>
          <a:sp3d contourW="25400">
            <a:contourClr>
              <a:schemeClr val="lt1"/>
            </a:contourClr>
          </a:sp3d>
        </c:spPr>
      </c:pivotFmt>
      <c:pivotFmt>
        <c:idx val="79"/>
        <c:spPr>
          <a:solidFill>
            <a:schemeClr val="accent1"/>
          </a:solidFill>
          <a:ln w="25400">
            <a:solidFill>
              <a:schemeClr val="lt1"/>
            </a:solidFill>
          </a:ln>
          <a:effectLst/>
          <a:sp3d contourW="25400">
            <a:contourClr>
              <a:schemeClr val="lt1"/>
            </a:contourClr>
          </a:sp3d>
        </c:spPr>
      </c:pivotFmt>
      <c:pivotFmt>
        <c:idx val="80"/>
        <c:spPr>
          <a:solidFill>
            <a:schemeClr val="accent1"/>
          </a:solidFill>
          <a:ln w="25400">
            <a:solidFill>
              <a:schemeClr val="lt1"/>
            </a:solidFill>
          </a:ln>
          <a:effectLst/>
          <a:sp3d contourW="25400">
            <a:contourClr>
              <a:schemeClr val="lt1"/>
            </a:contourClr>
          </a:sp3d>
        </c:spPr>
      </c:pivotFmt>
      <c:pivotFmt>
        <c:idx val="81"/>
        <c:spPr>
          <a:solidFill>
            <a:schemeClr val="accent1"/>
          </a:solidFill>
          <a:ln w="25400">
            <a:solidFill>
              <a:schemeClr val="lt1"/>
            </a:solidFill>
          </a:ln>
          <a:effectLst/>
          <a:sp3d contourW="25400">
            <a:contourClr>
              <a:schemeClr val="lt1"/>
            </a:contourClr>
          </a:sp3d>
        </c:spPr>
      </c:pivotFmt>
      <c:pivotFmt>
        <c:idx val="82"/>
        <c:spPr>
          <a:solidFill>
            <a:schemeClr val="accent1"/>
          </a:solidFill>
          <a:ln w="25400">
            <a:solidFill>
              <a:schemeClr val="lt1"/>
            </a:solidFill>
          </a:ln>
          <a:effectLst/>
          <a:sp3d contourW="25400">
            <a:contourClr>
              <a:schemeClr val="lt1"/>
            </a:contourClr>
          </a:sp3d>
        </c:spPr>
      </c:pivotFmt>
      <c:pivotFmt>
        <c:idx val="83"/>
        <c:spPr>
          <a:solidFill>
            <a:schemeClr val="accent1"/>
          </a:solidFill>
          <a:ln w="25400">
            <a:solidFill>
              <a:schemeClr val="lt1"/>
            </a:solidFill>
          </a:ln>
          <a:effectLst/>
          <a:sp3d contourW="25400">
            <a:contourClr>
              <a:schemeClr val="lt1"/>
            </a:contourClr>
          </a:sp3d>
        </c:spPr>
      </c:pivotFmt>
      <c:pivotFmt>
        <c:idx val="84"/>
        <c:spPr>
          <a:solidFill>
            <a:schemeClr val="accent1"/>
          </a:solidFill>
          <a:ln w="25400">
            <a:solidFill>
              <a:schemeClr val="lt1"/>
            </a:solidFill>
          </a:ln>
          <a:effectLst/>
          <a:sp3d contourW="25400">
            <a:contourClr>
              <a:schemeClr val="lt1"/>
            </a:contourClr>
          </a:sp3d>
        </c:spPr>
      </c:pivotFmt>
      <c:pivotFmt>
        <c:idx val="85"/>
        <c:spPr>
          <a:solidFill>
            <a:schemeClr val="accent1"/>
          </a:solidFill>
          <a:ln w="25400">
            <a:solidFill>
              <a:schemeClr val="lt1"/>
            </a:solidFill>
          </a:ln>
          <a:effectLst/>
          <a:sp3d contourW="25400">
            <a:contourClr>
              <a:schemeClr val="lt1"/>
            </a:contourClr>
          </a:sp3d>
        </c:spPr>
      </c:pivotFmt>
      <c:pivotFmt>
        <c:idx val="86"/>
        <c:spPr>
          <a:solidFill>
            <a:schemeClr val="accent1"/>
          </a:solidFill>
          <a:ln w="25400">
            <a:solidFill>
              <a:schemeClr val="lt1"/>
            </a:solidFill>
          </a:ln>
          <a:effectLst/>
          <a:sp3d contourW="25400">
            <a:contourClr>
              <a:schemeClr val="lt1"/>
            </a:contourClr>
          </a:sp3d>
        </c:spPr>
      </c:pivotFmt>
      <c:pivotFmt>
        <c:idx val="87"/>
        <c:spPr>
          <a:solidFill>
            <a:schemeClr val="accent1"/>
          </a:solidFill>
          <a:ln w="25400">
            <a:solidFill>
              <a:schemeClr val="lt1"/>
            </a:solidFill>
          </a:ln>
          <a:effectLst/>
          <a:sp3d contourW="25400">
            <a:contourClr>
              <a:schemeClr val="lt1"/>
            </a:contourClr>
          </a:sp3d>
        </c:spPr>
      </c:pivotFmt>
      <c:pivotFmt>
        <c:idx val="88"/>
        <c:spPr>
          <a:solidFill>
            <a:schemeClr val="accent1"/>
          </a:solidFill>
          <a:ln w="25400">
            <a:solidFill>
              <a:schemeClr val="lt1"/>
            </a:solidFill>
          </a:ln>
          <a:effectLst/>
          <a:sp3d contourW="25400">
            <a:contourClr>
              <a:schemeClr val="lt1"/>
            </a:contourClr>
          </a:sp3d>
        </c:spPr>
      </c:pivotFmt>
      <c:pivotFmt>
        <c:idx val="89"/>
        <c:spPr>
          <a:solidFill>
            <a:schemeClr val="accent1"/>
          </a:solidFill>
          <a:ln w="25400">
            <a:solidFill>
              <a:schemeClr val="lt1"/>
            </a:solidFill>
          </a:ln>
          <a:effectLst/>
          <a:sp3d contourW="25400">
            <a:contourClr>
              <a:schemeClr val="lt1"/>
            </a:contourClr>
          </a:sp3d>
        </c:spPr>
      </c:pivotFmt>
      <c:pivotFmt>
        <c:idx val="90"/>
        <c:spPr>
          <a:solidFill>
            <a:schemeClr val="accent1"/>
          </a:solidFill>
          <a:ln w="25400">
            <a:solidFill>
              <a:schemeClr val="lt1"/>
            </a:solidFill>
          </a:ln>
          <a:effectLst/>
          <a:sp3d contourW="25400">
            <a:contourClr>
              <a:schemeClr val="lt1"/>
            </a:contourClr>
          </a:sp3d>
        </c:spPr>
      </c:pivotFmt>
      <c:pivotFmt>
        <c:idx val="91"/>
        <c:spPr>
          <a:solidFill>
            <a:schemeClr val="accent1"/>
          </a:solidFill>
          <a:ln w="25400">
            <a:solidFill>
              <a:schemeClr val="lt1"/>
            </a:solidFill>
          </a:ln>
          <a:effectLst/>
          <a:sp3d contourW="25400">
            <a:contourClr>
              <a:schemeClr val="lt1"/>
            </a:contourClr>
          </a:sp3d>
        </c:spPr>
      </c:pivotFmt>
      <c:pivotFmt>
        <c:idx val="92"/>
        <c:spPr>
          <a:solidFill>
            <a:schemeClr val="accent1"/>
          </a:solidFill>
          <a:ln w="25400">
            <a:solidFill>
              <a:schemeClr val="lt1"/>
            </a:solidFill>
          </a:ln>
          <a:effectLst/>
          <a:sp3d contourW="25400">
            <a:contourClr>
              <a:schemeClr val="lt1"/>
            </a:contourClr>
          </a:sp3d>
        </c:spPr>
      </c:pivotFmt>
      <c:pivotFmt>
        <c:idx val="93"/>
        <c:spPr>
          <a:solidFill>
            <a:schemeClr val="accent1"/>
          </a:solidFill>
          <a:ln w="25400">
            <a:solidFill>
              <a:schemeClr val="lt1"/>
            </a:solidFill>
          </a:ln>
          <a:effectLst/>
          <a:sp3d contourW="25400">
            <a:contourClr>
              <a:schemeClr val="lt1"/>
            </a:contourClr>
          </a:sp3d>
        </c:spPr>
      </c:pivotFmt>
      <c:pivotFmt>
        <c:idx val="94"/>
        <c:spPr>
          <a:solidFill>
            <a:schemeClr val="accent1"/>
          </a:solidFill>
          <a:ln w="25400">
            <a:solidFill>
              <a:schemeClr val="lt1"/>
            </a:solidFill>
          </a:ln>
          <a:effectLst/>
          <a:sp3d contourW="25400">
            <a:contourClr>
              <a:schemeClr val="lt1"/>
            </a:contourClr>
          </a:sp3d>
        </c:spPr>
      </c:pivotFmt>
      <c:pivotFmt>
        <c:idx val="95"/>
        <c:spPr>
          <a:solidFill>
            <a:schemeClr val="accent1"/>
          </a:solidFill>
          <a:ln w="25400">
            <a:solidFill>
              <a:schemeClr val="lt1"/>
            </a:solidFill>
          </a:ln>
          <a:effectLst/>
          <a:sp3d contourW="25400">
            <a:contourClr>
              <a:schemeClr val="lt1"/>
            </a:contourClr>
          </a:sp3d>
        </c:spPr>
      </c:pivotFmt>
      <c:pivotFmt>
        <c:idx val="96"/>
        <c:spPr>
          <a:solidFill>
            <a:schemeClr val="accent1"/>
          </a:solidFill>
          <a:ln w="25400">
            <a:solidFill>
              <a:schemeClr val="lt1"/>
            </a:solidFill>
          </a:ln>
          <a:effectLst/>
          <a:sp3d contourW="25400">
            <a:contourClr>
              <a:schemeClr val="lt1"/>
            </a:contourClr>
          </a:sp3d>
        </c:spPr>
      </c:pivotFmt>
      <c:pivotFmt>
        <c:idx val="97"/>
        <c:spPr>
          <a:solidFill>
            <a:schemeClr val="accent1"/>
          </a:solidFill>
          <a:ln w="25400">
            <a:solidFill>
              <a:schemeClr val="lt1"/>
            </a:solidFill>
          </a:ln>
          <a:effectLst/>
          <a:sp3d contourW="25400">
            <a:contourClr>
              <a:schemeClr val="lt1"/>
            </a:contourClr>
          </a:sp3d>
        </c:spPr>
      </c:pivotFmt>
      <c:pivotFmt>
        <c:idx val="98"/>
        <c:spPr>
          <a:solidFill>
            <a:schemeClr val="accent1"/>
          </a:solidFill>
          <a:ln w="25400">
            <a:solidFill>
              <a:schemeClr val="lt1"/>
            </a:solidFill>
          </a:ln>
          <a:effectLst/>
          <a:sp3d contourW="25400">
            <a:contourClr>
              <a:schemeClr val="lt1"/>
            </a:contourClr>
          </a:sp3d>
        </c:spPr>
      </c:pivotFmt>
      <c:pivotFmt>
        <c:idx val="99"/>
        <c:spPr>
          <a:solidFill>
            <a:schemeClr val="accent1"/>
          </a:solidFill>
          <a:ln w="25400">
            <a:solidFill>
              <a:schemeClr val="lt1"/>
            </a:solidFill>
          </a:ln>
          <a:effectLst/>
          <a:sp3d contourW="25400">
            <a:contourClr>
              <a:schemeClr val="lt1"/>
            </a:contourClr>
          </a:sp3d>
        </c:spPr>
      </c:pivotFmt>
      <c:pivotFmt>
        <c:idx val="100"/>
        <c:spPr>
          <a:solidFill>
            <a:schemeClr val="accent1"/>
          </a:solidFill>
          <a:ln w="25400">
            <a:solidFill>
              <a:schemeClr val="lt1"/>
            </a:solidFill>
          </a:ln>
          <a:effectLst/>
          <a:sp3d contourW="25400">
            <a:contourClr>
              <a:schemeClr val="lt1"/>
            </a:contourClr>
          </a:sp3d>
        </c:spPr>
      </c:pivotFmt>
      <c:pivotFmt>
        <c:idx val="101"/>
        <c:spPr>
          <a:solidFill>
            <a:schemeClr val="accent1"/>
          </a:solidFill>
          <a:ln w="25400">
            <a:solidFill>
              <a:schemeClr val="lt1"/>
            </a:solidFill>
          </a:ln>
          <a:effectLst/>
          <a:sp3d contourW="25400">
            <a:contourClr>
              <a:schemeClr val="lt1"/>
            </a:contourClr>
          </a:sp3d>
        </c:spPr>
      </c:pivotFmt>
      <c:pivotFmt>
        <c:idx val="102"/>
        <c:spPr>
          <a:solidFill>
            <a:schemeClr val="accent1"/>
          </a:solidFill>
          <a:ln w="25400">
            <a:solidFill>
              <a:schemeClr val="lt1"/>
            </a:solidFill>
          </a:ln>
          <a:effectLst/>
          <a:sp3d contourW="25400">
            <a:contourClr>
              <a:schemeClr val="lt1"/>
            </a:contourClr>
          </a:sp3d>
        </c:spPr>
      </c:pivotFmt>
      <c:pivotFmt>
        <c:idx val="103"/>
        <c:spPr>
          <a:solidFill>
            <a:schemeClr val="accent1"/>
          </a:solidFill>
          <a:ln w="25400">
            <a:solidFill>
              <a:schemeClr val="lt1"/>
            </a:solidFill>
          </a:ln>
          <a:effectLst/>
          <a:sp3d contourW="25400">
            <a:contourClr>
              <a:schemeClr val="lt1"/>
            </a:contourClr>
          </a:sp3d>
        </c:spPr>
      </c:pivotFmt>
      <c:pivotFmt>
        <c:idx val="104"/>
        <c:spPr>
          <a:solidFill>
            <a:schemeClr val="accent1"/>
          </a:solidFill>
          <a:ln w="25400">
            <a:solidFill>
              <a:schemeClr val="lt1"/>
            </a:solidFill>
          </a:ln>
          <a:effectLst/>
          <a:sp3d contourW="25400">
            <a:contourClr>
              <a:schemeClr val="lt1"/>
            </a:contourClr>
          </a:sp3d>
        </c:spPr>
      </c:pivotFmt>
      <c:pivotFmt>
        <c:idx val="105"/>
        <c:spPr>
          <a:solidFill>
            <a:schemeClr val="accent1"/>
          </a:solidFill>
          <a:ln w="25400">
            <a:solidFill>
              <a:schemeClr val="lt1"/>
            </a:solidFill>
          </a:ln>
          <a:effectLst/>
          <a:sp3d contourW="25400">
            <a:contourClr>
              <a:schemeClr val="lt1"/>
            </a:contourClr>
          </a:sp3d>
        </c:spPr>
      </c:pivotFmt>
      <c:pivotFmt>
        <c:idx val="106"/>
        <c:spPr>
          <a:solidFill>
            <a:schemeClr val="accent1"/>
          </a:solidFill>
          <a:ln w="25400">
            <a:solidFill>
              <a:schemeClr val="lt1"/>
            </a:solidFill>
          </a:ln>
          <a:effectLst/>
          <a:sp3d contourW="25400">
            <a:contourClr>
              <a:schemeClr val="lt1"/>
            </a:contourClr>
          </a:sp3d>
        </c:spPr>
      </c:pivotFmt>
      <c:pivotFmt>
        <c:idx val="107"/>
        <c:spPr>
          <a:solidFill>
            <a:schemeClr val="accent1"/>
          </a:solidFill>
          <a:ln w="25400">
            <a:solidFill>
              <a:schemeClr val="lt1"/>
            </a:solidFill>
          </a:ln>
          <a:effectLst/>
          <a:sp3d contourW="25400">
            <a:contourClr>
              <a:schemeClr val="lt1"/>
            </a:contourClr>
          </a:sp3d>
        </c:spPr>
      </c:pivotFmt>
      <c:pivotFmt>
        <c:idx val="108"/>
        <c:spPr>
          <a:solidFill>
            <a:schemeClr val="accent1"/>
          </a:solidFill>
          <a:ln w="25400">
            <a:solidFill>
              <a:schemeClr val="lt1"/>
            </a:solidFill>
          </a:ln>
          <a:effectLst/>
          <a:sp3d contourW="25400">
            <a:contourClr>
              <a:schemeClr val="lt1"/>
            </a:contourClr>
          </a:sp3d>
        </c:spPr>
      </c:pivotFmt>
      <c:pivotFmt>
        <c:idx val="109"/>
        <c:spPr>
          <a:solidFill>
            <a:schemeClr val="accent1"/>
          </a:solidFill>
          <a:ln w="25400">
            <a:solidFill>
              <a:schemeClr val="lt1"/>
            </a:solidFill>
          </a:ln>
          <a:effectLst/>
          <a:sp3d contourW="25400">
            <a:contourClr>
              <a:schemeClr val="lt1"/>
            </a:contourClr>
          </a:sp3d>
        </c:spPr>
      </c:pivotFmt>
      <c:pivotFmt>
        <c:idx val="110"/>
        <c:spPr>
          <a:solidFill>
            <a:schemeClr val="accent1"/>
          </a:solidFill>
          <a:ln w="25400">
            <a:solidFill>
              <a:schemeClr val="lt1"/>
            </a:solidFill>
          </a:ln>
          <a:effectLst/>
          <a:sp3d contourW="25400">
            <a:contourClr>
              <a:schemeClr val="lt1"/>
            </a:contourClr>
          </a:sp3d>
        </c:spPr>
      </c:pivotFmt>
      <c:pivotFmt>
        <c:idx val="111"/>
        <c:spPr>
          <a:solidFill>
            <a:schemeClr val="accent1"/>
          </a:solidFill>
          <a:ln w="25400">
            <a:solidFill>
              <a:schemeClr val="lt1"/>
            </a:solidFill>
          </a:ln>
          <a:effectLst/>
          <a:sp3d contourW="25400">
            <a:contourClr>
              <a:schemeClr val="lt1"/>
            </a:contourClr>
          </a:sp3d>
        </c:spPr>
      </c:pivotFmt>
      <c:pivotFmt>
        <c:idx val="112"/>
        <c:spPr>
          <a:solidFill>
            <a:schemeClr val="accent1"/>
          </a:solidFill>
          <a:ln w="25400">
            <a:solidFill>
              <a:schemeClr val="lt1"/>
            </a:solidFill>
          </a:ln>
          <a:effectLst/>
          <a:sp3d contourW="25400">
            <a:contourClr>
              <a:schemeClr val="lt1"/>
            </a:contourClr>
          </a:sp3d>
        </c:spPr>
      </c:pivotFmt>
      <c:pivotFmt>
        <c:idx val="113"/>
        <c:spPr>
          <a:solidFill>
            <a:schemeClr val="accent1"/>
          </a:solidFill>
          <a:ln w="25400">
            <a:solidFill>
              <a:schemeClr val="lt1"/>
            </a:solidFill>
          </a:ln>
          <a:effectLst/>
          <a:sp3d contourW="25400">
            <a:contourClr>
              <a:schemeClr val="lt1"/>
            </a:contourClr>
          </a:sp3d>
        </c:spPr>
      </c:pivotFmt>
      <c:pivotFmt>
        <c:idx val="114"/>
        <c:spPr>
          <a:solidFill>
            <a:schemeClr val="accent1"/>
          </a:solidFill>
          <a:ln w="25400">
            <a:solidFill>
              <a:schemeClr val="lt1"/>
            </a:solidFill>
          </a:ln>
          <a:effectLst/>
          <a:sp3d contourW="25400">
            <a:contourClr>
              <a:schemeClr val="lt1"/>
            </a:contourClr>
          </a:sp3d>
        </c:spPr>
      </c:pivotFmt>
      <c:pivotFmt>
        <c:idx val="115"/>
        <c:spPr>
          <a:solidFill>
            <a:schemeClr val="accent1"/>
          </a:solidFill>
          <a:ln w="25400">
            <a:solidFill>
              <a:schemeClr val="lt1"/>
            </a:solidFill>
          </a:ln>
          <a:effectLst/>
          <a:sp3d contourW="25400">
            <a:contourClr>
              <a:schemeClr val="lt1"/>
            </a:contourClr>
          </a:sp3d>
        </c:spPr>
      </c:pivotFmt>
      <c:pivotFmt>
        <c:idx val="116"/>
        <c:spPr>
          <a:solidFill>
            <a:schemeClr val="accent1"/>
          </a:solidFill>
          <a:ln w="25400">
            <a:solidFill>
              <a:schemeClr val="lt1"/>
            </a:solidFill>
          </a:ln>
          <a:effectLst/>
          <a:sp3d contourW="25400">
            <a:contourClr>
              <a:schemeClr val="lt1"/>
            </a:contourClr>
          </a:sp3d>
        </c:spPr>
      </c:pivotFmt>
      <c:pivotFmt>
        <c:idx val="117"/>
        <c:spPr>
          <a:solidFill>
            <a:schemeClr val="accent1"/>
          </a:solidFill>
          <a:ln w="25400">
            <a:solidFill>
              <a:schemeClr val="lt1"/>
            </a:solidFill>
          </a:ln>
          <a:effectLst/>
          <a:sp3d contourW="25400">
            <a:contourClr>
              <a:schemeClr val="lt1"/>
            </a:contourClr>
          </a:sp3d>
        </c:spPr>
      </c:pivotFmt>
      <c:pivotFmt>
        <c:idx val="118"/>
        <c:spPr>
          <a:solidFill>
            <a:schemeClr val="accent1"/>
          </a:solidFill>
          <a:ln w="25400">
            <a:solidFill>
              <a:schemeClr val="lt1"/>
            </a:solidFill>
          </a:ln>
          <a:effectLst/>
          <a:sp3d contourW="25400">
            <a:contourClr>
              <a:schemeClr val="lt1"/>
            </a:contourClr>
          </a:sp3d>
        </c:spPr>
      </c:pivotFmt>
      <c:pivotFmt>
        <c:idx val="119"/>
        <c:spPr>
          <a:solidFill>
            <a:schemeClr val="accent1"/>
          </a:solidFill>
          <a:ln w="25400">
            <a:solidFill>
              <a:schemeClr val="lt1"/>
            </a:solidFill>
          </a:ln>
          <a:effectLst/>
          <a:sp3d contourW="25400">
            <a:contourClr>
              <a:schemeClr val="lt1"/>
            </a:contourClr>
          </a:sp3d>
        </c:spPr>
      </c:pivotFmt>
      <c:pivotFmt>
        <c:idx val="120"/>
        <c:spPr>
          <a:solidFill>
            <a:schemeClr val="accent1"/>
          </a:solidFill>
          <a:ln w="25400">
            <a:solidFill>
              <a:schemeClr val="lt1"/>
            </a:solidFill>
          </a:ln>
          <a:effectLst/>
          <a:sp3d contourW="25400">
            <a:contourClr>
              <a:schemeClr val="lt1"/>
            </a:contourClr>
          </a:sp3d>
        </c:spPr>
      </c:pivotFmt>
      <c:pivotFmt>
        <c:idx val="121"/>
        <c:spPr>
          <a:solidFill>
            <a:schemeClr val="accent1"/>
          </a:solidFill>
          <a:ln w="25400">
            <a:solidFill>
              <a:schemeClr val="lt1"/>
            </a:solidFill>
          </a:ln>
          <a:effectLst/>
          <a:sp3d contourW="25400">
            <a:contourClr>
              <a:schemeClr val="lt1"/>
            </a:contourClr>
          </a:sp3d>
        </c:spPr>
      </c:pivotFmt>
      <c:pivotFmt>
        <c:idx val="122"/>
        <c:spPr>
          <a:solidFill>
            <a:schemeClr val="accent1"/>
          </a:solidFill>
          <a:ln w="25400">
            <a:solidFill>
              <a:schemeClr val="lt1"/>
            </a:solidFill>
          </a:ln>
          <a:effectLst/>
          <a:sp3d contourW="25400">
            <a:contourClr>
              <a:schemeClr val="lt1"/>
            </a:contourClr>
          </a:sp3d>
        </c:spPr>
      </c:pivotFmt>
      <c:pivotFmt>
        <c:idx val="123"/>
        <c:spPr>
          <a:solidFill>
            <a:schemeClr val="accent1"/>
          </a:solidFill>
          <a:ln w="25400">
            <a:solidFill>
              <a:schemeClr val="lt1"/>
            </a:solidFill>
          </a:ln>
          <a:effectLst/>
          <a:sp3d contourW="25400">
            <a:contourClr>
              <a:schemeClr val="lt1"/>
            </a:contourClr>
          </a:sp3d>
        </c:spPr>
      </c:pivotFmt>
      <c:pivotFmt>
        <c:idx val="124"/>
        <c:spPr>
          <a:solidFill>
            <a:schemeClr val="accent1"/>
          </a:solidFill>
          <a:ln w="25400">
            <a:solidFill>
              <a:schemeClr val="lt1"/>
            </a:solidFill>
          </a:ln>
          <a:effectLst/>
          <a:sp3d contourW="25400">
            <a:contourClr>
              <a:schemeClr val="lt1"/>
            </a:contourClr>
          </a:sp3d>
        </c:spPr>
      </c:pivotFmt>
      <c:pivotFmt>
        <c:idx val="125"/>
        <c:spPr>
          <a:solidFill>
            <a:schemeClr val="accent1"/>
          </a:solidFill>
          <a:ln w="25400">
            <a:solidFill>
              <a:schemeClr val="lt1"/>
            </a:solidFill>
          </a:ln>
          <a:effectLst/>
          <a:sp3d contourW="25400">
            <a:contourClr>
              <a:schemeClr val="lt1"/>
            </a:contourClr>
          </a:sp3d>
        </c:spPr>
      </c:pivotFmt>
      <c:pivotFmt>
        <c:idx val="126"/>
        <c:spPr>
          <a:solidFill>
            <a:schemeClr val="accent1"/>
          </a:solidFill>
          <a:ln w="25400">
            <a:solidFill>
              <a:schemeClr val="lt1"/>
            </a:solidFill>
          </a:ln>
          <a:effectLst/>
          <a:sp3d contourW="25400">
            <a:contourClr>
              <a:schemeClr val="lt1"/>
            </a:contourClr>
          </a:sp3d>
        </c:spPr>
      </c:pivotFmt>
      <c:pivotFmt>
        <c:idx val="127"/>
        <c:spPr>
          <a:solidFill>
            <a:schemeClr val="accent1"/>
          </a:solidFill>
          <a:ln w="25400">
            <a:solidFill>
              <a:schemeClr val="lt1"/>
            </a:solidFill>
          </a:ln>
          <a:effectLst/>
          <a:sp3d contourW="25400">
            <a:contourClr>
              <a:schemeClr val="lt1"/>
            </a:contourClr>
          </a:sp3d>
        </c:spPr>
      </c:pivotFmt>
      <c:pivotFmt>
        <c:idx val="128"/>
        <c:spPr>
          <a:solidFill>
            <a:schemeClr val="accent1"/>
          </a:solidFill>
          <a:ln w="25400">
            <a:solidFill>
              <a:schemeClr val="lt1"/>
            </a:solidFill>
          </a:ln>
          <a:effectLst/>
          <a:sp3d contourW="25400">
            <a:contourClr>
              <a:schemeClr val="lt1"/>
            </a:contourClr>
          </a:sp3d>
        </c:spPr>
      </c:pivotFmt>
      <c:pivotFmt>
        <c:idx val="129"/>
        <c:spPr>
          <a:solidFill>
            <a:schemeClr val="accent1"/>
          </a:solidFill>
          <a:ln w="25400">
            <a:solidFill>
              <a:schemeClr val="lt1"/>
            </a:solidFill>
          </a:ln>
          <a:effectLst/>
          <a:sp3d contourW="25400">
            <a:contourClr>
              <a:schemeClr val="lt1"/>
            </a:contourClr>
          </a:sp3d>
        </c:spPr>
      </c:pivotFmt>
      <c:pivotFmt>
        <c:idx val="130"/>
        <c:spPr>
          <a:solidFill>
            <a:schemeClr val="accent1"/>
          </a:solidFill>
          <a:ln w="25400">
            <a:solidFill>
              <a:schemeClr val="lt1"/>
            </a:solidFill>
          </a:ln>
          <a:effectLst/>
          <a:sp3d contourW="25400">
            <a:contourClr>
              <a:schemeClr val="lt1"/>
            </a:contourClr>
          </a:sp3d>
        </c:spPr>
      </c:pivotFmt>
      <c:pivotFmt>
        <c:idx val="131"/>
        <c:spPr>
          <a:solidFill>
            <a:schemeClr val="accent1"/>
          </a:solidFill>
          <a:ln w="25400">
            <a:solidFill>
              <a:schemeClr val="lt1"/>
            </a:solidFill>
          </a:ln>
          <a:effectLst/>
          <a:sp3d contourW="25400">
            <a:contourClr>
              <a:schemeClr val="lt1"/>
            </a:contourClr>
          </a:sp3d>
        </c:spPr>
      </c:pivotFmt>
      <c:pivotFmt>
        <c:idx val="132"/>
        <c:spPr>
          <a:solidFill>
            <a:schemeClr val="accent1"/>
          </a:solidFill>
          <a:ln w="25400">
            <a:solidFill>
              <a:schemeClr val="lt1"/>
            </a:solidFill>
          </a:ln>
          <a:effectLst/>
          <a:sp3d contourW="25400">
            <a:contourClr>
              <a:schemeClr val="lt1"/>
            </a:contourClr>
          </a:sp3d>
        </c:spPr>
      </c:pivotFmt>
      <c:pivotFmt>
        <c:idx val="133"/>
        <c:spPr>
          <a:solidFill>
            <a:schemeClr val="accent1"/>
          </a:solidFill>
          <a:ln w="25400">
            <a:solidFill>
              <a:schemeClr val="lt1"/>
            </a:solidFill>
          </a:ln>
          <a:effectLst/>
          <a:sp3d contourW="25400">
            <a:contourClr>
              <a:schemeClr val="lt1"/>
            </a:contourClr>
          </a:sp3d>
        </c:spPr>
      </c:pivotFmt>
      <c:pivotFmt>
        <c:idx val="134"/>
        <c:spPr>
          <a:solidFill>
            <a:schemeClr val="accent1"/>
          </a:solidFill>
          <a:ln w="25400">
            <a:solidFill>
              <a:schemeClr val="lt1"/>
            </a:solidFill>
          </a:ln>
          <a:effectLst/>
          <a:sp3d contourW="25400">
            <a:contourClr>
              <a:schemeClr val="lt1"/>
            </a:contourClr>
          </a:sp3d>
        </c:spPr>
      </c:pivotFmt>
      <c:pivotFmt>
        <c:idx val="135"/>
        <c:spPr>
          <a:solidFill>
            <a:schemeClr val="accent1"/>
          </a:solidFill>
          <a:ln w="25400">
            <a:solidFill>
              <a:schemeClr val="lt1"/>
            </a:solidFill>
          </a:ln>
          <a:effectLst/>
          <a:sp3d contourW="25400">
            <a:contourClr>
              <a:schemeClr val="lt1"/>
            </a:contourClr>
          </a:sp3d>
        </c:spPr>
      </c:pivotFmt>
      <c:pivotFmt>
        <c:idx val="136"/>
        <c:spPr>
          <a:solidFill>
            <a:schemeClr val="accent1"/>
          </a:solidFill>
          <a:ln w="25400">
            <a:solidFill>
              <a:schemeClr val="lt1"/>
            </a:solidFill>
          </a:ln>
          <a:effectLst/>
          <a:sp3d contourW="25400">
            <a:contourClr>
              <a:schemeClr val="lt1"/>
            </a:contourClr>
          </a:sp3d>
        </c:spPr>
      </c:pivotFmt>
      <c:pivotFmt>
        <c:idx val="137"/>
        <c:spPr>
          <a:solidFill>
            <a:schemeClr val="accent1"/>
          </a:solidFill>
          <a:ln w="25400">
            <a:solidFill>
              <a:schemeClr val="lt1"/>
            </a:solidFill>
          </a:ln>
          <a:effectLst/>
          <a:sp3d contourW="25400">
            <a:contourClr>
              <a:schemeClr val="lt1"/>
            </a:contourClr>
          </a:sp3d>
        </c:spPr>
      </c:pivotFmt>
      <c:pivotFmt>
        <c:idx val="138"/>
        <c:spPr>
          <a:solidFill>
            <a:schemeClr val="accent1"/>
          </a:solidFill>
          <a:ln w="25400">
            <a:solidFill>
              <a:schemeClr val="lt1"/>
            </a:solidFill>
          </a:ln>
          <a:effectLst/>
          <a:sp3d contourW="25400">
            <a:contourClr>
              <a:schemeClr val="lt1"/>
            </a:contourClr>
          </a:sp3d>
        </c:spPr>
      </c:pivotFmt>
      <c:pivotFmt>
        <c:idx val="139"/>
        <c:spPr>
          <a:solidFill>
            <a:schemeClr val="accent1"/>
          </a:solidFill>
          <a:ln w="25400">
            <a:solidFill>
              <a:schemeClr val="lt1"/>
            </a:solidFill>
          </a:ln>
          <a:effectLst/>
          <a:sp3d contourW="25400">
            <a:contourClr>
              <a:schemeClr val="lt1"/>
            </a:contourClr>
          </a:sp3d>
        </c:spPr>
      </c:pivotFmt>
      <c:pivotFmt>
        <c:idx val="140"/>
        <c:spPr>
          <a:solidFill>
            <a:schemeClr val="accent1"/>
          </a:solidFill>
          <a:ln w="25400">
            <a:solidFill>
              <a:schemeClr val="lt1"/>
            </a:solidFill>
          </a:ln>
          <a:effectLst/>
          <a:sp3d contourW="25400">
            <a:contourClr>
              <a:schemeClr val="lt1"/>
            </a:contourClr>
          </a:sp3d>
        </c:spPr>
      </c:pivotFmt>
      <c:pivotFmt>
        <c:idx val="141"/>
        <c:spPr>
          <a:solidFill>
            <a:schemeClr val="accent1"/>
          </a:solidFill>
          <a:ln w="25400">
            <a:solidFill>
              <a:schemeClr val="lt1"/>
            </a:solidFill>
          </a:ln>
          <a:effectLst/>
          <a:sp3d contourW="25400">
            <a:contourClr>
              <a:schemeClr val="lt1"/>
            </a:contourClr>
          </a:sp3d>
        </c:spPr>
      </c:pivotFmt>
      <c:pivotFmt>
        <c:idx val="142"/>
        <c:spPr>
          <a:solidFill>
            <a:schemeClr val="accent1"/>
          </a:solidFill>
          <a:ln w="25400">
            <a:solidFill>
              <a:schemeClr val="lt1"/>
            </a:solidFill>
          </a:ln>
          <a:effectLst/>
          <a:sp3d contourW="25400">
            <a:contourClr>
              <a:schemeClr val="lt1"/>
            </a:contourClr>
          </a:sp3d>
        </c:spPr>
      </c:pivotFmt>
      <c:pivotFmt>
        <c:idx val="143"/>
        <c:spPr>
          <a:solidFill>
            <a:schemeClr val="accent1"/>
          </a:solidFill>
          <a:ln w="25400">
            <a:solidFill>
              <a:schemeClr val="lt1"/>
            </a:solidFill>
          </a:ln>
          <a:effectLst/>
          <a:sp3d contourW="25400">
            <a:contourClr>
              <a:schemeClr val="lt1"/>
            </a:contourClr>
          </a:sp3d>
        </c:spPr>
      </c:pivotFmt>
      <c:pivotFmt>
        <c:idx val="144"/>
        <c:spPr>
          <a:solidFill>
            <a:schemeClr val="accent1"/>
          </a:solidFill>
          <a:ln w="25400">
            <a:solidFill>
              <a:schemeClr val="lt1"/>
            </a:solidFill>
          </a:ln>
          <a:effectLst/>
          <a:sp3d contourW="25400">
            <a:contourClr>
              <a:schemeClr val="lt1"/>
            </a:contourClr>
          </a:sp3d>
        </c:spPr>
      </c:pivotFmt>
      <c:pivotFmt>
        <c:idx val="145"/>
        <c:spPr>
          <a:solidFill>
            <a:schemeClr val="accent1"/>
          </a:solidFill>
          <a:ln w="25400">
            <a:solidFill>
              <a:schemeClr val="lt1"/>
            </a:solidFill>
          </a:ln>
          <a:effectLst/>
          <a:sp3d contourW="25400">
            <a:contourClr>
              <a:schemeClr val="lt1"/>
            </a:contourClr>
          </a:sp3d>
        </c:spPr>
      </c:pivotFmt>
      <c:pivotFmt>
        <c:idx val="146"/>
        <c:spPr>
          <a:solidFill>
            <a:schemeClr val="accent1"/>
          </a:solidFill>
          <a:ln w="25400">
            <a:solidFill>
              <a:schemeClr val="lt1"/>
            </a:solidFill>
          </a:ln>
          <a:effectLst/>
          <a:sp3d contourW="25400">
            <a:contourClr>
              <a:schemeClr val="lt1"/>
            </a:contourClr>
          </a:sp3d>
        </c:spPr>
      </c:pivotFmt>
      <c:pivotFmt>
        <c:idx val="147"/>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'Share of each age group'!$B$3</c:f>
              <c:strCache>
                <c:ptCount val="1"/>
                <c:pt idx="0">
                  <c:v>Sum of Total amount</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48E6-484A-8631-7EF3BA008A1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48E6-484A-8631-7EF3BA008A13}"/>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48E6-484A-8631-7EF3BA008A13}"/>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48E6-484A-8631-7EF3BA008A13}"/>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48E6-484A-8631-7EF3BA008A13}"/>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48E6-484A-8631-7EF3BA008A13}"/>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48E6-484A-8631-7EF3BA008A13}"/>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48E6-484A-8631-7EF3BA008A13}"/>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48E6-484A-8631-7EF3BA008A13}"/>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48E6-484A-8631-7EF3BA008A13}"/>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48E6-484A-8631-7EF3BA008A13}"/>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48E6-484A-8631-7EF3BA008A13}"/>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9-48E6-484A-8631-7EF3BA008A13}"/>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B-48E6-484A-8631-7EF3BA008A13}"/>
              </c:ext>
            </c:extLst>
          </c:dPt>
          <c:dPt>
            <c:idx val="14"/>
            <c:bubble3D val="0"/>
            <c:spPr>
              <a:solidFill>
                <a:schemeClr val="accent3">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D-48E6-484A-8631-7EF3BA008A13}"/>
              </c:ext>
            </c:extLst>
          </c:dPt>
          <c:dPt>
            <c:idx val="15"/>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F-48E6-484A-8631-7EF3BA008A13}"/>
              </c:ext>
            </c:extLst>
          </c:dPt>
          <c:dPt>
            <c:idx val="16"/>
            <c:bubble3D val="0"/>
            <c:spPr>
              <a:solidFill>
                <a:schemeClr val="accent5">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1-48E6-484A-8631-7EF3BA008A13}"/>
              </c:ext>
            </c:extLst>
          </c:dPt>
          <c:dPt>
            <c:idx val="17"/>
            <c:bubble3D val="0"/>
            <c:spPr>
              <a:solidFill>
                <a:schemeClr val="accent6">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3-48E6-484A-8631-7EF3BA008A13}"/>
              </c:ext>
            </c:extLst>
          </c:dPt>
          <c:dPt>
            <c:idx val="18"/>
            <c:bubble3D val="0"/>
            <c:spPr>
              <a:solidFill>
                <a:schemeClr val="accent1">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5-48E6-484A-8631-7EF3BA008A13}"/>
              </c:ext>
            </c:extLst>
          </c:dPt>
          <c:dPt>
            <c:idx val="19"/>
            <c:bubble3D val="0"/>
            <c:spPr>
              <a:solidFill>
                <a:schemeClr val="accent2">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7-48E6-484A-8631-7EF3BA008A13}"/>
              </c:ext>
            </c:extLst>
          </c:dPt>
          <c:dPt>
            <c:idx val="20"/>
            <c:bubble3D val="0"/>
            <c:spPr>
              <a:solidFill>
                <a:schemeClr val="accent3">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9-48E6-484A-8631-7EF3BA008A13}"/>
              </c:ext>
            </c:extLst>
          </c:dPt>
          <c:dPt>
            <c:idx val="21"/>
            <c:bubble3D val="0"/>
            <c:spPr>
              <a:solidFill>
                <a:schemeClr val="accent4">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B-48E6-484A-8631-7EF3BA008A13}"/>
              </c:ext>
            </c:extLst>
          </c:dPt>
          <c:dPt>
            <c:idx val="22"/>
            <c:bubble3D val="0"/>
            <c:spPr>
              <a:solidFill>
                <a:schemeClr val="accent5">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D-48E6-484A-8631-7EF3BA008A13}"/>
              </c:ext>
            </c:extLst>
          </c:dPt>
          <c:dPt>
            <c:idx val="23"/>
            <c:bubble3D val="0"/>
            <c:spPr>
              <a:solidFill>
                <a:schemeClr val="accent6">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F-48E6-484A-8631-7EF3BA008A13}"/>
              </c:ext>
            </c:extLst>
          </c:dPt>
          <c:dPt>
            <c:idx val="24"/>
            <c:bubble3D val="0"/>
            <c:spPr>
              <a:solidFill>
                <a:schemeClr val="accent1">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1-48E6-484A-8631-7EF3BA008A13}"/>
              </c:ext>
            </c:extLst>
          </c:dPt>
          <c:dPt>
            <c:idx val="25"/>
            <c:bubble3D val="0"/>
            <c:spPr>
              <a:solidFill>
                <a:schemeClr val="accent2">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3-48E6-484A-8631-7EF3BA008A13}"/>
              </c:ext>
            </c:extLst>
          </c:dPt>
          <c:dPt>
            <c:idx val="26"/>
            <c:bubble3D val="0"/>
            <c:spPr>
              <a:solidFill>
                <a:schemeClr val="accent3">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5-48E6-484A-8631-7EF3BA008A13}"/>
              </c:ext>
            </c:extLst>
          </c:dPt>
          <c:dPt>
            <c:idx val="27"/>
            <c:bubble3D val="0"/>
            <c:spPr>
              <a:solidFill>
                <a:schemeClr val="accent4">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7-48E6-484A-8631-7EF3BA008A13}"/>
              </c:ext>
            </c:extLst>
          </c:dPt>
          <c:dPt>
            <c:idx val="28"/>
            <c:bubble3D val="0"/>
            <c:spPr>
              <a:solidFill>
                <a:schemeClr val="accent5">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9-48E6-484A-8631-7EF3BA008A13}"/>
              </c:ext>
            </c:extLst>
          </c:dPt>
          <c:dPt>
            <c:idx val="29"/>
            <c:bubble3D val="0"/>
            <c:spPr>
              <a:solidFill>
                <a:schemeClr val="accent6">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B-48E6-484A-8631-7EF3BA008A13}"/>
              </c:ext>
            </c:extLst>
          </c:dPt>
          <c:dPt>
            <c:idx val="30"/>
            <c:bubble3D val="0"/>
            <c:spPr>
              <a:solidFill>
                <a:schemeClr val="accent1">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D-48E6-484A-8631-7EF3BA008A13}"/>
              </c:ext>
            </c:extLst>
          </c:dPt>
          <c:dPt>
            <c:idx val="31"/>
            <c:bubble3D val="0"/>
            <c:spPr>
              <a:solidFill>
                <a:schemeClr val="accent2">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F-48E6-484A-8631-7EF3BA008A13}"/>
              </c:ext>
            </c:extLst>
          </c:dPt>
          <c:dPt>
            <c:idx val="32"/>
            <c:bubble3D val="0"/>
            <c:spPr>
              <a:solidFill>
                <a:schemeClr val="accent3">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1-48E6-484A-8631-7EF3BA008A13}"/>
              </c:ext>
            </c:extLst>
          </c:dPt>
          <c:dPt>
            <c:idx val="33"/>
            <c:bubble3D val="0"/>
            <c:spPr>
              <a:solidFill>
                <a:schemeClr val="accent4">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3-48E6-484A-8631-7EF3BA008A13}"/>
              </c:ext>
            </c:extLst>
          </c:dPt>
          <c:dPt>
            <c:idx val="34"/>
            <c:bubble3D val="0"/>
            <c:spPr>
              <a:solidFill>
                <a:schemeClr val="accent5">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5-48E6-484A-8631-7EF3BA008A13}"/>
              </c:ext>
            </c:extLst>
          </c:dPt>
          <c:dPt>
            <c:idx val="35"/>
            <c:bubble3D val="0"/>
            <c:spPr>
              <a:solidFill>
                <a:schemeClr val="accent6">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7-48E6-484A-8631-7EF3BA008A13}"/>
              </c:ext>
            </c:extLst>
          </c:dPt>
          <c:dPt>
            <c:idx val="36"/>
            <c:bubble3D val="0"/>
            <c:spPr>
              <a:solidFill>
                <a:schemeClr val="accent1">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9-48E6-484A-8631-7EF3BA008A13}"/>
              </c:ext>
            </c:extLst>
          </c:dPt>
          <c:dPt>
            <c:idx val="37"/>
            <c:bubble3D val="0"/>
            <c:spPr>
              <a:solidFill>
                <a:schemeClr val="accent2">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B-48E6-484A-8631-7EF3BA008A13}"/>
              </c:ext>
            </c:extLst>
          </c:dPt>
          <c:dPt>
            <c:idx val="38"/>
            <c:bubble3D val="0"/>
            <c:spPr>
              <a:solidFill>
                <a:schemeClr val="accent3">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D-48E6-484A-8631-7EF3BA008A13}"/>
              </c:ext>
            </c:extLst>
          </c:dPt>
          <c:dPt>
            <c:idx val="39"/>
            <c:bubble3D val="0"/>
            <c:spPr>
              <a:solidFill>
                <a:schemeClr val="accent4">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F-48E6-484A-8631-7EF3BA008A13}"/>
              </c:ext>
            </c:extLst>
          </c:dPt>
          <c:dPt>
            <c:idx val="40"/>
            <c:bubble3D val="0"/>
            <c:spPr>
              <a:solidFill>
                <a:schemeClr val="accent5">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1-48E6-484A-8631-7EF3BA008A13}"/>
              </c:ext>
            </c:extLst>
          </c:dPt>
          <c:dPt>
            <c:idx val="41"/>
            <c:bubble3D val="0"/>
            <c:spPr>
              <a:solidFill>
                <a:schemeClr val="accent6">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3-48E6-484A-8631-7EF3BA008A13}"/>
              </c:ext>
            </c:extLst>
          </c:dPt>
          <c:dPt>
            <c:idx val="42"/>
            <c:bubble3D val="0"/>
            <c:spPr>
              <a:solidFill>
                <a:schemeClr val="accent1">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5-48E6-484A-8631-7EF3BA008A13}"/>
              </c:ext>
            </c:extLst>
          </c:dPt>
          <c:dPt>
            <c:idx val="43"/>
            <c:bubble3D val="0"/>
            <c:spPr>
              <a:solidFill>
                <a:schemeClr val="accent2">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7-48E6-484A-8631-7EF3BA008A13}"/>
              </c:ext>
            </c:extLst>
          </c:dPt>
          <c:dPt>
            <c:idx val="44"/>
            <c:bubble3D val="0"/>
            <c:spPr>
              <a:solidFill>
                <a:schemeClr val="accent3">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9-48E6-484A-8631-7EF3BA008A13}"/>
              </c:ext>
            </c:extLst>
          </c:dPt>
          <c:dPt>
            <c:idx val="45"/>
            <c:bubble3D val="0"/>
            <c:spPr>
              <a:solidFill>
                <a:schemeClr val="accent4">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B-48E6-484A-8631-7EF3BA008A13}"/>
              </c:ext>
            </c:extLst>
          </c:dPt>
          <c:dPt>
            <c:idx val="46"/>
            <c:bubble3D val="0"/>
            <c:spPr>
              <a:solidFill>
                <a:schemeClr val="accent5">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D-48E6-484A-8631-7EF3BA008A13}"/>
              </c:ext>
            </c:extLst>
          </c:dPt>
          <c:dPt>
            <c:idx val="47"/>
            <c:bubble3D val="0"/>
            <c:spPr>
              <a:solidFill>
                <a:schemeClr val="accent6">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F-48E6-484A-8631-7EF3BA008A13}"/>
              </c:ext>
            </c:extLst>
          </c:dPt>
          <c:dPt>
            <c:idx val="48"/>
            <c:bubble3D val="0"/>
            <c:spPr>
              <a:solidFill>
                <a:schemeClr val="accent1">
                  <a:lumMod val="50000"/>
                  <a:lumOff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1-48E6-484A-8631-7EF3BA008A13}"/>
              </c:ext>
            </c:extLst>
          </c:dPt>
          <c:dPt>
            <c:idx val="49"/>
            <c:bubble3D val="0"/>
            <c:spPr>
              <a:solidFill>
                <a:schemeClr val="accent2">
                  <a:lumMod val="50000"/>
                  <a:lumOff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3-48E6-484A-8631-7EF3BA008A13}"/>
              </c:ext>
            </c:extLst>
          </c:dPt>
          <c:dPt>
            <c:idx val="50"/>
            <c:bubble3D val="0"/>
            <c:spPr>
              <a:solidFill>
                <a:schemeClr val="accent3">
                  <a:lumMod val="50000"/>
                  <a:lumOff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5-48E6-484A-8631-7EF3BA008A13}"/>
              </c:ext>
            </c:extLst>
          </c:dPt>
          <c:dPt>
            <c:idx val="51"/>
            <c:bubble3D val="0"/>
            <c:spPr>
              <a:solidFill>
                <a:schemeClr val="accent4">
                  <a:lumMod val="50000"/>
                  <a:lumOff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7-48E6-484A-8631-7EF3BA008A13}"/>
              </c:ext>
            </c:extLst>
          </c:dPt>
          <c:dPt>
            <c:idx val="52"/>
            <c:bubble3D val="0"/>
            <c:spPr>
              <a:solidFill>
                <a:schemeClr val="accent5">
                  <a:lumMod val="50000"/>
                  <a:lumOff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9-48E6-484A-8631-7EF3BA008A13}"/>
              </c:ext>
            </c:extLst>
          </c:dPt>
          <c:dPt>
            <c:idx val="53"/>
            <c:bubble3D val="0"/>
            <c:spPr>
              <a:solidFill>
                <a:schemeClr val="accent6">
                  <a:lumMod val="50000"/>
                  <a:lumOff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B-48E6-484A-8631-7EF3BA008A13}"/>
              </c:ext>
            </c:extLst>
          </c:dPt>
          <c:dPt>
            <c:idx val="54"/>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6D-48E6-484A-8631-7EF3BA008A13}"/>
              </c:ext>
            </c:extLst>
          </c:dPt>
          <c:dPt>
            <c:idx val="55"/>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6F-48E6-484A-8631-7EF3BA008A13}"/>
              </c:ext>
            </c:extLst>
          </c:dPt>
          <c:dPt>
            <c:idx val="56"/>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71-48E6-484A-8631-7EF3BA008A13}"/>
              </c:ext>
            </c:extLst>
          </c:dPt>
          <c:dPt>
            <c:idx val="57"/>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73-48E6-484A-8631-7EF3BA008A13}"/>
              </c:ext>
            </c:extLst>
          </c:dPt>
          <c:dPt>
            <c:idx val="58"/>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75-48E6-484A-8631-7EF3BA008A13}"/>
              </c:ext>
            </c:extLst>
          </c:dPt>
          <c:dPt>
            <c:idx val="59"/>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77-48E6-484A-8631-7EF3BA008A13}"/>
              </c:ext>
            </c:extLst>
          </c:dPt>
          <c:dPt>
            <c:idx val="60"/>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79-48E6-484A-8631-7EF3BA008A13}"/>
              </c:ext>
            </c:extLst>
          </c:dPt>
          <c:dPt>
            <c:idx val="61"/>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7B-48E6-484A-8631-7EF3BA008A13}"/>
              </c:ext>
            </c:extLst>
          </c:dPt>
          <c:dPt>
            <c:idx val="62"/>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7D-48E6-484A-8631-7EF3BA008A13}"/>
              </c:ext>
            </c:extLst>
          </c:dPt>
          <c:dPt>
            <c:idx val="63"/>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7F-48E6-484A-8631-7EF3BA008A13}"/>
              </c:ext>
            </c:extLst>
          </c:dPt>
          <c:dPt>
            <c:idx val="64"/>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81-48E6-484A-8631-7EF3BA008A13}"/>
              </c:ext>
            </c:extLst>
          </c:dPt>
          <c:dPt>
            <c:idx val="65"/>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83-48E6-484A-8631-7EF3BA008A13}"/>
              </c:ext>
            </c:extLst>
          </c:dPt>
          <c:dPt>
            <c:idx val="66"/>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85-48E6-484A-8631-7EF3BA008A13}"/>
              </c:ext>
            </c:extLst>
          </c:dPt>
          <c:dPt>
            <c:idx val="67"/>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87-48E6-484A-8631-7EF3BA008A13}"/>
              </c:ext>
            </c:extLst>
          </c:dPt>
          <c:dPt>
            <c:idx val="68"/>
            <c:bubble3D val="0"/>
            <c:spPr>
              <a:solidFill>
                <a:schemeClr val="accent3">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89-48E6-484A-8631-7EF3BA008A13}"/>
              </c:ext>
            </c:extLst>
          </c:dPt>
          <c:dPt>
            <c:idx val="69"/>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8B-48E6-484A-8631-7EF3BA008A13}"/>
              </c:ext>
            </c:extLst>
          </c:dPt>
          <c:dPt>
            <c:idx val="70"/>
            <c:bubble3D val="0"/>
            <c:spPr>
              <a:solidFill>
                <a:schemeClr val="accent5">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8D-48E6-484A-8631-7EF3BA008A13}"/>
              </c:ext>
            </c:extLst>
          </c:dPt>
          <c:dPt>
            <c:idx val="71"/>
            <c:bubble3D val="0"/>
            <c:spPr>
              <a:solidFill>
                <a:schemeClr val="accent6">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8F-48E6-484A-8631-7EF3BA008A13}"/>
              </c:ext>
            </c:extLst>
          </c:dPt>
          <c:dPt>
            <c:idx val="72"/>
            <c:bubble3D val="0"/>
            <c:spPr>
              <a:solidFill>
                <a:schemeClr val="accent1">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91-48E6-484A-8631-7EF3BA008A13}"/>
              </c:ext>
            </c:extLst>
          </c:dPt>
          <c:cat>
            <c:multiLvlStrRef>
              <c:f>'Share of each age group'!$A$4:$A$94</c:f>
              <c:multiLvlStrCache>
                <c:ptCount val="73"/>
                <c:lvl>
                  <c:pt idx="0">
                    <c:v>Haryana</c:v>
                  </c:pt>
                  <c:pt idx="1">
                    <c:v>Gujrat</c:v>
                  </c:pt>
                  <c:pt idx="2">
                    <c:v>Uttar Pradesh</c:v>
                  </c:pt>
                  <c:pt idx="3">
                    <c:v>Jammu &amp; Kashmir</c:v>
                  </c:pt>
                  <c:pt idx="4">
                    <c:v>Bihar</c:v>
                  </c:pt>
                  <c:pt idx="5">
                    <c:v>Gujrat</c:v>
                  </c:pt>
                  <c:pt idx="6">
                    <c:v>Haryana</c:v>
                  </c:pt>
                  <c:pt idx="7">
                    <c:v>Karnataka</c:v>
                  </c:pt>
                  <c:pt idx="8">
                    <c:v>Maharashtra</c:v>
                  </c:pt>
                  <c:pt idx="9">
                    <c:v>Mizoram</c:v>
                  </c:pt>
                  <c:pt idx="10">
                    <c:v>Punjab</c:v>
                  </c:pt>
                  <c:pt idx="11">
                    <c:v>Uttar Pradesh</c:v>
                  </c:pt>
                  <c:pt idx="12">
                    <c:v>Delhi</c:v>
                  </c:pt>
                  <c:pt idx="13">
                    <c:v>Haryana</c:v>
                  </c:pt>
                  <c:pt idx="14">
                    <c:v>Kerala</c:v>
                  </c:pt>
                  <c:pt idx="15">
                    <c:v>Tamil Nadu</c:v>
                  </c:pt>
                  <c:pt idx="16">
                    <c:v>Tripura</c:v>
                  </c:pt>
                  <c:pt idx="17">
                    <c:v>Uttar Pradesh</c:v>
                  </c:pt>
                  <c:pt idx="18">
                    <c:v>Gujrat</c:v>
                  </c:pt>
                  <c:pt idx="19">
                    <c:v>Haryana</c:v>
                  </c:pt>
                  <c:pt idx="20">
                    <c:v>Maharashtra</c:v>
                  </c:pt>
                  <c:pt idx="21">
                    <c:v>Uttar Pradesh</c:v>
                  </c:pt>
                  <c:pt idx="22">
                    <c:v>West Bengal</c:v>
                  </c:pt>
                  <c:pt idx="23">
                    <c:v>Haryana</c:v>
                  </c:pt>
                  <c:pt idx="24">
                    <c:v>Delhi</c:v>
                  </c:pt>
                  <c:pt idx="25">
                    <c:v>Haryana</c:v>
                  </c:pt>
                  <c:pt idx="26">
                    <c:v>Rajasthan</c:v>
                  </c:pt>
                  <c:pt idx="27">
                    <c:v>Uttar Pradesh</c:v>
                  </c:pt>
                  <c:pt idx="28">
                    <c:v>West Bengal</c:v>
                  </c:pt>
                  <c:pt idx="29">
                    <c:v>Andhra Pradesh</c:v>
                  </c:pt>
                  <c:pt idx="30">
                    <c:v>Haryana</c:v>
                  </c:pt>
                  <c:pt idx="31">
                    <c:v>Karnataka</c:v>
                  </c:pt>
                  <c:pt idx="32">
                    <c:v>Uttar Pradesh</c:v>
                  </c:pt>
                  <c:pt idx="33">
                    <c:v>Andhra Pradesh</c:v>
                  </c:pt>
                  <c:pt idx="34">
                    <c:v>Delhi</c:v>
                  </c:pt>
                  <c:pt idx="35">
                    <c:v>Gujrat</c:v>
                  </c:pt>
                  <c:pt idx="36">
                    <c:v>Haryana</c:v>
                  </c:pt>
                  <c:pt idx="37">
                    <c:v>Maharashtra</c:v>
                  </c:pt>
                  <c:pt idx="38">
                    <c:v>Punjab</c:v>
                  </c:pt>
                  <c:pt idx="39">
                    <c:v>Rajasthan</c:v>
                  </c:pt>
                  <c:pt idx="40">
                    <c:v>Uttar Pradesh</c:v>
                  </c:pt>
                  <c:pt idx="41">
                    <c:v>West Bengal</c:v>
                  </c:pt>
                  <c:pt idx="42">
                    <c:v>Andhra Pradesh</c:v>
                  </c:pt>
                  <c:pt idx="43">
                    <c:v>Delhi</c:v>
                  </c:pt>
                  <c:pt idx="44">
                    <c:v>Haryana</c:v>
                  </c:pt>
                  <c:pt idx="45">
                    <c:v>Himachal Pradesh</c:v>
                  </c:pt>
                  <c:pt idx="46">
                    <c:v>Maharashtra</c:v>
                  </c:pt>
                  <c:pt idx="47">
                    <c:v>Punjab</c:v>
                  </c:pt>
                  <c:pt idx="48">
                    <c:v>Rajasthan</c:v>
                  </c:pt>
                  <c:pt idx="49">
                    <c:v>Tamil Nadu</c:v>
                  </c:pt>
                  <c:pt idx="50">
                    <c:v>Uttar Pradesh</c:v>
                  </c:pt>
                  <c:pt idx="51">
                    <c:v>Uttarakhand</c:v>
                  </c:pt>
                  <c:pt idx="52">
                    <c:v>West Bengal</c:v>
                  </c:pt>
                  <c:pt idx="53">
                    <c:v>Andhra Pradesh</c:v>
                  </c:pt>
                  <c:pt idx="54">
                    <c:v>Delhi</c:v>
                  </c:pt>
                  <c:pt idx="55">
                    <c:v>Gujrat</c:v>
                  </c:pt>
                  <c:pt idx="56">
                    <c:v>Haryana</c:v>
                  </c:pt>
                  <c:pt idx="57">
                    <c:v>Jammu &amp; Kashmir</c:v>
                  </c:pt>
                  <c:pt idx="58">
                    <c:v>Karnataka</c:v>
                  </c:pt>
                  <c:pt idx="59">
                    <c:v>Maharashtra</c:v>
                  </c:pt>
                  <c:pt idx="60">
                    <c:v>Uttar Pradesh</c:v>
                  </c:pt>
                  <c:pt idx="61">
                    <c:v>West Bengal</c:v>
                  </c:pt>
                  <c:pt idx="62">
                    <c:v>Delhi</c:v>
                  </c:pt>
                  <c:pt idx="63">
                    <c:v>Haryana</c:v>
                  </c:pt>
                  <c:pt idx="64">
                    <c:v>Karnataka</c:v>
                  </c:pt>
                  <c:pt idx="65">
                    <c:v>Andhra Pradesh</c:v>
                  </c:pt>
                  <c:pt idx="66">
                    <c:v>Delhi</c:v>
                  </c:pt>
                  <c:pt idx="67">
                    <c:v>Gujrat</c:v>
                  </c:pt>
                  <c:pt idx="68">
                    <c:v>Haryana</c:v>
                  </c:pt>
                  <c:pt idx="69">
                    <c:v>Jammu &amp; Kashmir</c:v>
                  </c:pt>
                  <c:pt idx="70">
                    <c:v>Maharashtra</c:v>
                  </c:pt>
                  <c:pt idx="71">
                    <c:v>Tamil Nadu</c:v>
                  </c:pt>
                  <c:pt idx="72">
                    <c:v>Uttar Pradesh</c:v>
                  </c:pt>
                </c:lvl>
                <c:lvl>
                  <c:pt idx="0">
                    <c:v>Buy Now Pay later</c:v>
                  </c:pt>
                  <c:pt idx="1">
                    <c:v>Credit Card</c:v>
                  </c:pt>
                  <c:pt idx="3">
                    <c:v>EMI </c:v>
                  </c:pt>
                  <c:pt idx="4">
                    <c:v>Cash on delivery</c:v>
                  </c:pt>
                  <c:pt idx="12">
                    <c:v>Credit Card</c:v>
                  </c:pt>
                  <c:pt idx="18">
                    <c:v>EMI </c:v>
                  </c:pt>
                  <c:pt idx="23">
                    <c:v>No Cost EMI</c:v>
                  </c:pt>
                  <c:pt idx="24">
                    <c:v>UPI</c:v>
                  </c:pt>
                  <c:pt idx="29">
                    <c:v>Buy Now Pay later</c:v>
                  </c:pt>
                  <c:pt idx="33">
                    <c:v>Cash on delivery</c:v>
                  </c:pt>
                  <c:pt idx="42">
                    <c:v>Credit Card</c:v>
                  </c:pt>
                  <c:pt idx="53">
                    <c:v>EMI </c:v>
                  </c:pt>
                  <c:pt idx="62">
                    <c:v>No Cost EMI</c:v>
                  </c:pt>
                  <c:pt idx="65">
                    <c:v>UPI</c:v>
                  </c:pt>
                </c:lvl>
                <c:lvl>
                  <c:pt idx="0">
                    <c:v>Senior Citizen</c:v>
                  </c:pt>
                  <c:pt idx="4">
                    <c:v>student</c:v>
                  </c:pt>
                  <c:pt idx="29">
                    <c:v>working adults</c:v>
                  </c:pt>
                </c:lvl>
              </c:multiLvlStrCache>
            </c:multiLvlStrRef>
          </c:cat>
          <c:val>
            <c:numRef>
              <c:f>'Share of each age group'!$B$4:$B$94</c:f>
              <c:numCache>
                <c:formatCode>_ [$₹-4009]\ * #,##0.00_ ;_ [$₹-4009]\ * \-#,##0.00_ ;_ [$₹-4009]\ * "-"??_ ;_ @_ </c:formatCode>
                <c:ptCount val="73"/>
                <c:pt idx="0">
                  <c:v>201600</c:v>
                </c:pt>
                <c:pt idx="1">
                  <c:v>31250</c:v>
                </c:pt>
                <c:pt idx="2">
                  <c:v>94770</c:v>
                </c:pt>
                <c:pt idx="3">
                  <c:v>254200</c:v>
                </c:pt>
                <c:pt idx="4">
                  <c:v>4200</c:v>
                </c:pt>
                <c:pt idx="5">
                  <c:v>1050</c:v>
                </c:pt>
                <c:pt idx="6">
                  <c:v>42490</c:v>
                </c:pt>
                <c:pt idx="7">
                  <c:v>11250</c:v>
                </c:pt>
                <c:pt idx="8">
                  <c:v>750</c:v>
                </c:pt>
                <c:pt idx="9">
                  <c:v>1950.2</c:v>
                </c:pt>
                <c:pt idx="10">
                  <c:v>4375</c:v>
                </c:pt>
                <c:pt idx="11">
                  <c:v>79700</c:v>
                </c:pt>
                <c:pt idx="12">
                  <c:v>175050</c:v>
                </c:pt>
                <c:pt idx="13">
                  <c:v>224380</c:v>
                </c:pt>
                <c:pt idx="14">
                  <c:v>68100</c:v>
                </c:pt>
                <c:pt idx="15">
                  <c:v>35880</c:v>
                </c:pt>
                <c:pt idx="16">
                  <c:v>4674.7999999999993</c:v>
                </c:pt>
                <c:pt idx="17">
                  <c:v>75900</c:v>
                </c:pt>
                <c:pt idx="18">
                  <c:v>116760</c:v>
                </c:pt>
                <c:pt idx="19">
                  <c:v>722872</c:v>
                </c:pt>
                <c:pt idx="20">
                  <c:v>79577.7</c:v>
                </c:pt>
                <c:pt idx="21">
                  <c:v>1000809</c:v>
                </c:pt>
                <c:pt idx="22">
                  <c:v>93750</c:v>
                </c:pt>
                <c:pt idx="23">
                  <c:v>213750</c:v>
                </c:pt>
                <c:pt idx="24">
                  <c:v>1120</c:v>
                </c:pt>
                <c:pt idx="25">
                  <c:v>12960</c:v>
                </c:pt>
                <c:pt idx="26">
                  <c:v>6860</c:v>
                </c:pt>
                <c:pt idx="27">
                  <c:v>4478.1000000000004</c:v>
                </c:pt>
                <c:pt idx="28">
                  <c:v>1225</c:v>
                </c:pt>
                <c:pt idx="29">
                  <c:v>12150</c:v>
                </c:pt>
                <c:pt idx="30">
                  <c:v>731800</c:v>
                </c:pt>
                <c:pt idx="31">
                  <c:v>46800</c:v>
                </c:pt>
                <c:pt idx="32">
                  <c:v>236600</c:v>
                </c:pt>
                <c:pt idx="33">
                  <c:v>4000</c:v>
                </c:pt>
                <c:pt idx="34">
                  <c:v>6615</c:v>
                </c:pt>
                <c:pt idx="35">
                  <c:v>49572</c:v>
                </c:pt>
                <c:pt idx="36">
                  <c:v>98365</c:v>
                </c:pt>
                <c:pt idx="37">
                  <c:v>7560</c:v>
                </c:pt>
                <c:pt idx="38">
                  <c:v>2240</c:v>
                </c:pt>
                <c:pt idx="39">
                  <c:v>2250</c:v>
                </c:pt>
                <c:pt idx="40">
                  <c:v>12600</c:v>
                </c:pt>
                <c:pt idx="41">
                  <c:v>1400</c:v>
                </c:pt>
                <c:pt idx="42">
                  <c:v>391200</c:v>
                </c:pt>
                <c:pt idx="43">
                  <c:v>1175232.5</c:v>
                </c:pt>
                <c:pt idx="44">
                  <c:v>2057180.7</c:v>
                </c:pt>
                <c:pt idx="45">
                  <c:v>23400</c:v>
                </c:pt>
                <c:pt idx="46">
                  <c:v>161050</c:v>
                </c:pt>
                <c:pt idx="47">
                  <c:v>112470</c:v>
                </c:pt>
                <c:pt idx="48">
                  <c:v>33600</c:v>
                </c:pt>
                <c:pt idx="49">
                  <c:v>73760</c:v>
                </c:pt>
                <c:pt idx="50">
                  <c:v>838615</c:v>
                </c:pt>
                <c:pt idx="51">
                  <c:v>3900</c:v>
                </c:pt>
                <c:pt idx="52">
                  <c:v>13000</c:v>
                </c:pt>
                <c:pt idx="53">
                  <c:v>193600</c:v>
                </c:pt>
                <c:pt idx="54">
                  <c:v>2332648</c:v>
                </c:pt>
                <c:pt idx="55">
                  <c:v>442800</c:v>
                </c:pt>
                <c:pt idx="56">
                  <c:v>3871040</c:v>
                </c:pt>
                <c:pt idx="57">
                  <c:v>268800</c:v>
                </c:pt>
                <c:pt idx="58">
                  <c:v>129500</c:v>
                </c:pt>
                <c:pt idx="59">
                  <c:v>632830</c:v>
                </c:pt>
                <c:pt idx="60">
                  <c:v>2365145</c:v>
                </c:pt>
                <c:pt idx="61">
                  <c:v>678080</c:v>
                </c:pt>
                <c:pt idx="62">
                  <c:v>219600</c:v>
                </c:pt>
                <c:pt idx="63">
                  <c:v>151875</c:v>
                </c:pt>
                <c:pt idx="64">
                  <c:v>189000</c:v>
                </c:pt>
                <c:pt idx="65">
                  <c:v>6860</c:v>
                </c:pt>
                <c:pt idx="66">
                  <c:v>13148.8</c:v>
                </c:pt>
                <c:pt idx="67">
                  <c:v>31320</c:v>
                </c:pt>
                <c:pt idx="68">
                  <c:v>106800</c:v>
                </c:pt>
                <c:pt idx="69">
                  <c:v>2310</c:v>
                </c:pt>
                <c:pt idx="70">
                  <c:v>8400</c:v>
                </c:pt>
                <c:pt idx="71">
                  <c:v>3640</c:v>
                </c:pt>
                <c:pt idx="72">
                  <c:v>24780</c:v>
                </c:pt>
              </c:numCache>
            </c:numRef>
          </c:val>
          <c:extLst>
            <c:ext xmlns:c16="http://schemas.microsoft.com/office/drawing/2014/chart" uri="{C3380CC4-5D6E-409C-BE32-E72D297353CC}">
              <c16:uniqueId val="{00000000-895B-4740-A6E2-9ACD2A73978C}"/>
            </c:ext>
          </c:extLst>
        </c:ser>
        <c:ser>
          <c:idx val="1"/>
          <c:order val="1"/>
          <c:tx>
            <c:strRef>
              <c:f>'Share of each age group'!$C$3</c:f>
              <c:strCache>
                <c:ptCount val="1"/>
                <c:pt idx="0">
                  <c:v>Count of Quantity</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93-48E6-484A-8631-7EF3BA008A1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95-48E6-484A-8631-7EF3BA008A13}"/>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97-48E6-484A-8631-7EF3BA008A13}"/>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99-48E6-484A-8631-7EF3BA008A13}"/>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9B-48E6-484A-8631-7EF3BA008A13}"/>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9D-48E6-484A-8631-7EF3BA008A13}"/>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9F-48E6-484A-8631-7EF3BA008A13}"/>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A1-48E6-484A-8631-7EF3BA008A13}"/>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A3-48E6-484A-8631-7EF3BA008A13}"/>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A5-48E6-484A-8631-7EF3BA008A13}"/>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A7-48E6-484A-8631-7EF3BA008A13}"/>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A9-48E6-484A-8631-7EF3BA008A13}"/>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AB-48E6-484A-8631-7EF3BA008A13}"/>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AD-48E6-484A-8631-7EF3BA008A13}"/>
              </c:ext>
            </c:extLst>
          </c:dPt>
          <c:dPt>
            <c:idx val="14"/>
            <c:bubble3D val="0"/>
            <c:spPr>
              <a:solidFill>
                <a:schemeClr val="accent3">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AF-48E6-484A-8631-7EF3BA008A13}"/>
              </c:ext>
            </c:extLst>
          </c:dPt>
          <c:dPt>
            <c:idx val="15"/>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B1-48E6-484A-8631-7EF3BA008A13}"/>
              </c:ext>
            </c:extLst>
          </c:dPt>
          <c:dPt>
            <c:idx val="16"/>
            <c:bubble3D val="0"/>
            <c:spPr>
              <a:solidFill>
                <a:schemeClr val="accent5">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B3-48E6-484A-8631-7EF3BA008A13}"/>
              </c:ext>
            </c:extLst>
          </c:dPt>
          <c:dPt>
            <c:idx val="17"/>
            <c:bubble3D val="0"/>
            <c:spPr>
              <a:solidFill>
                <a:schemeClr val="accent6">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B5-48E6-484A-8631-7EF3BA008A13}"/>
              </c:ext>
            </c:extLst>
          </c:dPt>
          <c:dPt>
            <c:idx val="18"/>
            <c:bubble3D val="0"/>
            <c:spPr>
              <a:solidFill>
                <a:schemeClr val="accent1">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B7-48E6-484A-8631-7EF3BA008A13}"/>
              </c:ext>
            </c:extLst>
          </c:dPt>
          <c:dPt>
            <c:idx val="19"/>
            <c:bubble3D val="0"/>
            <c:spPr>
              <a:solidFill>
                <a:schemeClr val="accent2">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B9-48E6-484A-8631-7EF3BA008A13}"/>
              </c:ext>
            </c:extLst>
          </c:dPt>
          <c:dPt>
            <c:idx val="20"/>
            <c:bubble3D val="0"/>
            <c:spPr>
              <a:solidFill>
                <a:schemeClr val="accent3">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BB-48E6-484A-8631-7EF3BA008A13}"/>
              </c:ext>
            </c:extLst>
          </c:dPt>
          <c:dPt>
            <c:idx val="21"/>
            <c:bubble3D val="0"/>
            <c:spPr>
              <a:solidFill>
                <a:schemeClr val="accent4">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BD-48E6-484A-8631-7EF3BA008A13}"/>
              </c:ext>
            </c:extLst>
          </c:dPt>
          <c:dPt>
            <c:idx val="22"/>
            <c:bubble3D val="0"/>
            <c:spPr>
              <a:solidFill>
                <a:schemeClr val="accent5">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BF-48E6-484A-8631-7EF3BA008A13}"/>
              </c:ext>
            </c:extLst>
          </c:dPt>
          <c:dPt>
            <c:idx val="23"/>
            <c:bubble3D val="0"/>
            <c:spPr>
              <a:solidFill>
                <a:schemeClr val="accent6">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C1-48E6-484A-8631-7EF3BA008A13}"/>
              </c:ext>
            </c:extLst>
          </c:dPt>
          <c:dPt>
            <c:idx val="24"/>
            <c:bubble3D val="0"/>
            <c:spPr>
              <a:solidFill>
                <a:schemeClr val="accent1">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C3-48E6-484A-8631-7EF3BA008A13}"/>
              </c:ext>
            </c:extLst>
          </c:dPt>
          <c:dPt>
            <c:idx val="25"/>
            <c:bubble3D val="0"/>
            <c:spPr>
              <a:solidFill>
                <a:schemeClr val="accent2">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C5-48E6-484A-8631-7EF3BA008A13}"/>
              </c:ext>
            </c:extLst>
          </c:dPt>
          <c:dPt>
            <c:idx val="26"/>
            <c:bubble3D val="0"/>
            <c:spPr>
              <a:solidFill>
                <a:schemeClr val="accent3">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C7-48E6-484A-8631-7EF3BA008A13}"/>
              </c:ext>
            </c:extLst>
          </c:dPt>
          <c:dPt>
            <c:idx val="27"/>
            <c:bubble3D val="0"/>
            <c:spPr>
              <a:solidFill>
                <a:schemeClr val="accent4">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C9-48E6-484A-8631-7EF3BA008A13}"/>
              </c:ext>
            </c:extLst>
          </c:dPt>
          <c:dPt>
            <c:idx val="28"/>
            <c:bubble3D val="0"/>
            <c:spPr>
              <a:solidFill>
                <a:schemeClr val="accent5">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CB-48E6-484A-8631-7EF3BA008A13}"/>
              </c:ext>
            </c:extLst>
          </c:dPt>
          <c:dPt>
            <c:idx val="29"/>
            <c:bubble3D val="0"/>
            <c:spPr>
              <a:solidFill>
                <a:schemeClr val="accent6">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CD-48E6-484A-8631-7EF3BA008A13}"/>
              </c:ext>
            </c:extLst>
          </c:dPt>
          <c:dPt>
            <c:idx val="30"/>
            <c:bubble3D val="0"/>
            <c:spPr>
              <a:solidFill>
                <a:schemeClr val="accent1">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CF-48E6-484A-8631-7EF3BA008A13}"/>
              </c:ext>
            </c:extLst>
          </c:dPt>
          <c:dPt>
            <c:idx val="31"/>
            <c:bubble3D val="0"/>
            <c:spPr>
              <a:solidFill>
                <a:schemeClr val="accent2">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D1-48E6-484A-8631-7EF3BA008A13}"/>
              </c:ext>
            </c:extLst>
          </c:dPt>
          <c:dPt>
            <c:idx val="32"/>
            <c:bubble3D val="0"/>
            <c:spPr>
              <a:solidFill>
                <a:schemeClr val="accent3">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D3-48E6-484A-8631-7EF3BA008A13}"/>
              </c:ext>
            </c:extLst>
          </c:dPt>
          <c:dPt>
            <c:idx val="33"/>
            <c:bubble3D val="0"/>
            <c:spPr>
              <a:solidFill>
                <a:schemeClr val="accent4">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D5-48E6-484A-8631-7EF3BA008A13}"/>
              </c:ext>
            </c:extLst>
          </c:dPt>
          <c:dPt>
            <c:idx val="34"/>
            <c:bubble3D val="0"/>
            <c:spPr>
              <a:solidFill>
                <a:schemeClr val="accent5">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D7-48E6-484A-8631-7EF3BA008A13}"/>
              </c:ext>
            </c:extLst>
          </c:dPt>
          <c:dPt>
            <c:idx val="35"/>
            <c:bubble3D val="0"/>
            <c:spPr>
              <a:solidFill>
                <a:schemeClr val="accent6">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D9-48E6-484A-8631-7EF3BA008A13}"/>
              </c:ext>
            </c:extLst>
          </c:dPt>
          <c:dPt>
            <c:idx val="36"/>
            <c:bubble3D val="0"/>
            <c:spPr>
              <a:solidFill>
                <a:schemeClr val="accent1">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DB-48E6-484A-8631-7EF3BA008A13}"/>
              </c:ext>
            </c:extLst>
          </c:dPt>
          <c:dPt>
            <c:idx val="37"/>
            <c:bubble3D val="0"/>
            <c:spPr>
              <a:solidFill>
                <a:schemeClr val="accent2">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DD-48E6-484A-8631-7EF3BA008A13}"/>
              </c:ext>
            </c:extLst>
          </c:dPt>
          <c:dPt>
            <c:idx val="38"/>
            <c:bubble3D val="0"/>
            <c:spPr>
              <a:solidFill>
                <a:schemeClr val="accent3">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DF-48E6-484A-8631-7EF3BA008A13}"/>
              </c:ext>
            </c:extLst>
          </c:dPt>
          <c:dPt>
            <c:idx val="39"/>
            <c:bubble3D val="0"/>
            <c:spPr>
              <a:solidFill>
                <a:schemeClr val="accent4">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E1-48E6-484A-8631-7EF3BA008A13}"/>
              </c:ext>
            </c:extLst>
          </c:dPt>
          <c:dPt>
            <c:idx val="40"/>
            <c:bubble3D val="0"/>
            <c:spPr>
              <a:solidFill>
                <a:schemeClr val="accent5">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E3-48E6-484A-8631-7EF3BA008A13}"/>
              </c:ext>
            </c:extLst>
          </c:dPt>
          <c:dPt>
            <c:idx val="41"/>
            <c:bubble3D val="0"/>
            <c:spPr>
              <a:solidFill>
                <a:schemeClr val="accent6">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E5-48E6-484A-8631-7EF3BA008A13}"/>
              </c:ext>
            </c:extLst>
          </c:dPt>
          <c:dPt>
            <c:idx val="42"/>
            <c:bubble3D val="0"/>
            <c:spPr>
              <a:solidFill>
                <a:schemeClr val="accent1">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E7-48E6-484A-8631-7EF3BA008A13}"/>
              </c:ext>
            </c:extLst>
          </c:dPt>
          <c:dPt>
            <c:idx val="43"/>
            <c:bubble3D val="0"/>
            <c:spPr>
              <a:solidFill>
                <a:schemeClr val="accent2">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E9-48E6-484A-8631-7EF3BA008A13}"/>
              </c:ext>
            </c:extLst>
          </c:dPt>
          <c:dPt>
            <c:idx val="44"/>
            <c:bubble3D val="0"/>
            <c:spPr>
              <a:solidFill>
                <a:schemeClr val="accent3">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EB-48E6-484A-8631-7EF3BA008A13}"/>
              </c:ext>
            </c:extLst>
          </c:dPt>
          <c:dPt>
            <c:idx val="45"/>
            <c:bubble3D val="0"/>
            <c:spPr>
              <a:solidFill>
                <a:schemeClr val="accent4">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ED-48E6-484A-8631-7EF3BA008A13}"/>
              </c:ext>
            </c:extLst>
          </c:dPt>
          <c:dPt>
            <c:idx val="46"/>
            <c:bubble3D val="0"/>
            <c:spPr>
              <a:solidFill>
                <a:schemeClr val="accent5">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EF-48E6-484A-8631-7EF3BA008A13}"/>
              </c:ext>
            </c:extLst>
          </c:dPt>
          <c:dPt>
            <c:idx val="47"/>
            <c:bubble3D val="0"/>
            <c:spPr>
              <a:solidFill>
                <a:schemeClr val="accent6">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F1-48E6-484A-8631-7EF3BA008A13}"/>
              </c:ext>
            </c:extLst>
          </c:dPt>
          <c:dPt>
            <c:idx val="48"/>
            <c:bubble3D val="0"/>
            <c:spPr>
              <a:solidFill>
                <a:schemeClr val="accent1">
                  <a:lumMod val="50000"/>
                  <a:lumOff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F3-48E6-484A-8631-7EF3BA008A13}"/>
              </c:ext>
            </c:extLst>
          </c:dPt>
          <c:dPt>
            <c:idx val="49"/>
            <c:bubble3D val="0"/>
            <c:spPr>
              <a:solidFill>
                <a:schemeClr val="accent2">
                  <a:lumMod val="50000"/>
                  <a:lumOff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F5-48E6-484A-8631-7EF3BA008A13}"/>
              </c:ext>
            </c:extLst>
          </c:dPt>
          <c:dPt>
            <c:idx val="50"/>
            <c:bubble3D val="0"/>
            <c:spPr>
              <a:solidFill>
                <a:schemeClr val="accent3">
                  <a:lumMod val="50000"/>
                  <a:lumOff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F7-48E6-484A-8631-7EF3BA008A13}"/>
              </c:ext>
            </c:extLst>
          </c:dPt>
          <c:dPt>
            <c:idx val="51"/>
            <c:bubble3D val="0"/>
            <c:spPr>
              <a:solidFill>
                <a:schemeClr val="accent4">
                  <a:lumMod val="50000"/>
                  <a:lumOff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F9-48E6-484A-8631-7EF3BA008A13}"/>
              </c:ext>
            </c:extLst>
          </c:dPt>
          <c:dPt>
            <c:idx val="52"/>
            <c:bubble3D val="0"/>
            <c:spPr>
              <a:solidFill>
                <a:schemeClr val="accent5">
                  <a:lumMod val="50000"/>
                  <a:lumOff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FB-48E6-484A-8631-7EF3BA008A13}"/>
              </c:ext>
            </c:extLst>
          </c:dPt>
          <c:dPt>
            <c:idx val="53"/>
            <c:bubble3D val="0"/>
            <c:spPr>
              <a:solidFill>
                <a:schemeClr val="accent6">
                  <a:lumMod val="50000"/>
                  <a:lumOff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FD-48E6-484A-8631-7EF3BA008A13}"/>
              </c:ext>
            </c:extLst>
          </c:dPt>
          <c:dPt>
            <c:idx val="54"/>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FF-48E6-484A-8631-7EF3BA008A13}"/>
              </c:ext>
            </c:extLst>
          </c:dPt>
          <c:dPt>
            <c:idx val="55"/>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101-48E6-484A-8631-7EF3BA008A13}"/>
              </c:ext>
            </c:extLst>
          </c:dPt>
          <c:dPt>
            <c:idx val="56"/>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103-48E6-484A-8631-7EF3BA008A13}"/>
              </c:ext>
            </c:extLst>
          </c:dPt>
          <c:dPt>
            <c:idx val="57"/>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105-48E6-484A-8631-7EF3BA008A13}"/>
              </c:ext>
            </c:extLst>
          </c:dPt>
          <c:dPt>
            <c:idx val="58"/>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107-48E6-484A-8631-7EF3BA008A13}"/>
              </c:ext>
            </c:extLst>
          </c:dPt>
          <c:dPt>
            <c:idx val="59"/>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109-48E6-484A-8631-7EF3BA008A13}"/>
              </c:ext>
            </c:extLst>
          </c:dPt>
          <c:dPt>
            <c:idx val="60"/>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0B-48E6-484A-8631-7EF3BA008A13}"/>
              </c:ext>
            </c:extLst>
          </c:dPt>
          <c:dPt>
            <c:idx val="61"/>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0D-48E6-484A-8631-7EF3BA008A13}"/>
              </c:ext>
            </c:extLst>
          </c:dPt>
          <c:dPt>
            <c:idx val="62"/>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0F-48E6-484A-8631-7EF3BA008A13}"/>
              </c:ext>
            </c:extLst>
          </c:dPt>
          <c:dPt>
            <c:idx val="63"/>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11-48E6-484A-8631-7EF3BA008A13}"/>
              </c:ext>
            </c:extLst>
          </c:dPt>
          <c:dPt>
            <c:idx val="64"/>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13-48E6-484A-8631-7EF3BA008A13}"/>
              </c:ext>
            </c:extLst>
          </c:dPt>
          <c:dPt>
            <c:idx val="65"/>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15-48E6-484A-8631-7EF3BA008A13}"/>
              </c:ext>
            </c:extLst>
          </c:dPt>
          <c:dPt>
            <c:idx val="66"/>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17-48E6-484A-8631-7EF3BA008A13}"/>
              </c:ext>
            </c:extLst>
          </c:dPt>
          <c:dPt>
            <c:idx val="67"/>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19-48E6-484A-8631-7EF3BA008A13}"/>
              </c:ext>
            </c:extLst>
          </c:dPt>
          <c:dPt>
            <c:idx val="68"/>
            <c:bubble3D val="0"/>
            <c:spPr>
              <a:solidFill>
                <a:schemeClr val="accent3">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1B-48E6-484A-8631-7EF3BA008A13}"/>
              </c:ext>
            </c:extLst>
          </c:dPt>
          <c:dPt>
            <c:idx val="69"/>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1D-48E6-484A-8631-7EF3BA008A13}"/>
              </c:ext>
            </c:extLst>
          </c:dPt>
          <c:dPt>
            <c:idx val="70"/>
            <c:bubble3D val="0"/>
            <c:spPr>
              <a:solidFill>
                <a:schemeClr val="accent5">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1F-48E6-484A-8631-7EF3BA008A13}"/>
              </c:ext>
            </c:extLst>
          </c:dPt>
          <c:dPt>
            <c:idx val="71"/>
            <c:bubble3D val="0"/>
            <c:spPr>
              <a:solidFill>
                <a:schemeClr val="accent6">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21-48E6-484A-8631-7EF3BA008A13}"/>
              </c:ext>
            </c:extLst>
          </c:dPt>
          <c:dPt>
            <c:idx val="72"/>
            <c:bubble3D val="0"/>
            <c:spPr>
              <a:solidFill>
                <a:schemeClr val="accent1">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23-48E6-484A-8631-7EF3BA008A13}"/>
              </c:ext>
            </c:extLst>
          </c:dPt>
          <c:cat>
            <c:multiLvlStrRef>
              <c:f>'Share of each age group'!$A$4:$A$94</c:f>
              <c:multiLvlStrCache>
                <c:ptCount val="73"/>
                <c:lvl>
                  <c:pt idx="0">
                    <c:v>Haryana</c:v>
                  </c:pt>
                  <c:pt idx="1">
                    <c:v>Gujrat</c:v>
                  </c:pt>
                  <c:pt idx="2">
                    <c:v>Uttar Pradesh</c:v>
                  </c:pt>
                  <c:pt idx="3">
                    <c:v>Jammu &amp; Kashmir</c:v>
                  </c:pt>
                  <c:pt idx="4">
                    <c:v>Bihar</c:v>
                  </c:pt>
                  <c:pt idx="5">
                    <c:v>Gujrat</c:v>
                  </c:pt>
                  <c:pt idx="6">
                    <c:v>Haryana</c:v>
                  </c:pt>
                  <c:pt idx="7">
                    <c:v>Karnataka</c:v>
                  </c:pt>
                  <c:pt idx="8">
                    <c:v>Maharashtra</c:v>
                  </c:pt>
                  <c:pt idx="9">
                    <c:v>Mizoram</c:v>
                  </c:pt>
                  <c:pt idx="10">
                    <c:v>Punjab</c:v>
                  </c:pt>
                  <c:pt idx="11">
                    <c:v>Uttar Pradesh</c:v>
                  </c:pt>
                  <c:pt idx="12">
                    <c:v>Delhi</c:v>
                  </c:pt>
                  <c:pt idx="13">
                    <c:v>Haryana</c:v>
                  </c:pt>
                  <c:pt idx="14">
                    <c:v>Kerala</c:v>
                  </c:pt>
                  <c:pt idx="15">
                    <c:v>Tamil Nadu</c:v>
                  </c:pt>
                  <c:pt idx="16">
                    <c:v>Tripura</c:v>
                  </c:pt>
                  <c:pt idx="17">
                    <c:v>Uttar Pradesh</c:v>
                  </c:pt>
                  <c:pt idx="18">
                    <c:v>Gujrat</c:v>
                  </c:pt>
                  <c:pt idx="19">
                    <c:v>Haryana</c:v>
                  </c:pt>
                  <c:pt idx="20">
                    <c:v>Maharashtra</c:v>
                  </c:pt>
                  <c:pt idx="21">
                    <c:v>Uttar Pradesh</c:v>
                  </c:pt>
                  <c:pt idx="22">
                    <c:v>West Bengal</c:v>
                  </c:pt>
                  <c:pt idx="23">
                    <c:v>Haryana</c:v>
                  </c:pt>
                  <c:pt idx="24">
                    <c:v>Delhi</c:v>
                  </c:pt>
                  <c:pt idx="25">
                    <c:v>Haryana</c:v>
                  </c:pt>
                  <c:pt idx="26">
                    <c:v>Rajasthan</c:v>
                  </c:pt>
                  <c:pt idx="27">
                    <c:v>Uttar Pradesh</c:v>
                  </c:pt>
                  <c:pt idx="28">
                    <c:v>West Bengal</c:v>
                  </c:pt>
                  <c:pt idx="29">
                    <c:v>Andhra Pradesh</c:v>
                  </c:pt>
                  <c:pt idx="30">
                    <c:v>Haryana</c:v>
                  </c:pt>
                  <c:pt idx="31">
                    <c:v>Karnataka</c:v>
                  </c:pt>
                  <c:pt idx="32">
                    <c:v>Uttar Pradesh</c:v>
                  </c:pt>
                  <c:pt idx="33">
                    <c:v>Andhra Pradesh</c:v>
                  </c:pt>
                  <c:pt idx="34">
                    <c:v>Delhi</c:v>
                  </c:pt>
                  <c:pt idx="35">
                    <c:v>Gujrat</c:v>
                  </c:pt>
                  <c:pt idx="36">
                    <c:v>Haryana</c:v>
                  </c:pt>
                  <c:pt idx="37">
                    <c:v>Maharashtra</c:v>
                  </c:pt>
                  <c:pt idx="38">
                    <c:v>Punjab</c:v>
                  </c:pt>
                  <c:pt idx="39">
                    <c:v>Rajasthan</c:v>
                  </c:pt>
                  <c:pt idx="40">
                    <c:v>Uttar Pradesh</c:v>
                  </c:pt>
                  <c:pt idx="41">
                    <c:v>West Bengal</c:v>
                  </c:pt>
                  <c:pt idx="42">
                    <c:v>Andhra Pradesh</c:v>
                  </c:pt>
                  <c:pt idx="43">
                    <c:v>Delhi</c:v>
                  </c:pt>
                  <c:pt idx="44">
                    <c:v>Haryana</c:v>
                  </c:pt>
                  <c:pt idx="45">
                    <c:v>Himachal Pradesh</c:v>
                  </c:pt>
                  <c:pt idx="46">
                    <c:v>Maharashtra</c:v>
                  </c:pt>
                  <c:pt idx="47">
                    <c:v>Punjab</c:v>
                  </c:pt>
                  <c:pt idx="48">
                    <c:v>Rajasthan</c:v>
                  </c:pt>
                  <c:pt idx="49">
                    <c:v>Tamil Nadu</c:v>
                  </c:pt>
                  <c:pt idx="50">
                    <c:v>Uttar Pradesh</c:v>
                  </c:pt>
                  <c:pt idx="51">
                    <c:v>Uttarakhand</c:v>
                  </c:pt>
                  <c:pt idx="52">
                    <c:v>West Bengal</c:v>
                  </c:pt>
                  <c:pt idx="53">
                    <c:v>Andhra Pradesh</c:v>
                  </c:pt>
                  <c:pt idx="54">
                    <c:v>Delhi</c:v>
                  </c:pt>
                  <c:pt idx="55">
                    <c:v>Gujrat</c:v>
                  </c:pt>
                  <c:pt idx="56">
                    <c:v>Haryana</c:v>
                  </c:pt>
                  <c:pt idx="57">
                    <c:v>Jammu &amp; Kashmir</c:v>
                  </c:pt>
                  <c:pt idx="58">
                    <c:v>Karnataka</c:v>
                  </c:pt>
                  <c:pt idx="59">
                    <c:v>Maharashtra</c:v>
                  </c:pt>
                  <c:pt idx="60">
                    <c:v>Uttar Pradesh</c:v>
                  </c:pt>
                  <c:pt idx="61">
                    <c:v>West Bengal</c:v>
                  </c:pt>
                  <c:pt idx="62">
                    <c:v>Delhi</c:v>
                  </c:pt>
                  <c:pt idx="63">
                    <c:v>Haryana</c:v>
                  </c:pt>
                  <c:pt idx="64">
                    <c:v>Karnataka</c:v>
                  </c:pt>
                  <c:pt idx="65">
                    <c:v>Andhra Pradesh</c:v>
                  </c:pt>
                  <c:pt idx="66">
                    <c:v>Delhi</c:v>
                  </c:pt>
                  <c:pt idx="67">
                    <c:v>Gujrat</c:v>
                  </c:pt>
                  <c:pt idx="68">
                    <c:v>Haryana</c:v>
                  </c:pt>
                  <c:pt idx="69">
                    <c:v>Jammu &amp; Kashmir</c:v>
                  </c:pt>
                  <c:pt idx="70">
                    <c:v>Maharashtra</c:v>
                  </c:pt>
                  <c:pt idx="71">
                    <c:v>Tamil Nadu</c:v>
                  </c:pt>
                  <c:pt idx="72">
                    <c:v>Uttar Pradesh</c:v>
                  </c:pt>
                </c:lvl>
                <c:lvl>
                  <c:pt idx="0">
                    <c:v>Buy Now Pay later</c:v>
                  </c:pt>
                  <c:pt idx="1">
                    <c:v>Credit Card</c:v>
                  </c:pt>
                  <c:pt idx="3">
                    <c:v>EMI </c:v>
                  </c:pt>
                  <c:pt idx="4">
                    <c:v>Cash on delivery</c:v>
                  </c:pt>
                  <c:pt idx="12">
                    <c:v>Credit Card</c:v>
                  </c:pt>
                  <c:pt idx="18">
                    <c:v>EMI </c:v>
                  </c:pt>
                  <c:pt idx="23">
                    <c:v>No Cost EMI</c:v>
                  </c:pt>
                  <c:pt idx="24">
                    <c:v>UPI</c:v>
                  </c:pt>
                  <c:pt idx="29">
                    <c:v>Buy Now Pay later</c:v>
                  </c:pt>
                  <c:pt idx="33">
                    <c:v>Cash on delivery</c:v>
                  </c:pt>
                  <c:pt idx="42">
                    <c:v>Credit Card</c:v>
                  </c:pt>
                  <c:pt idx="53">
                    <c:v>EMI </c:v>
                  </c:pt>
                  <c:pt idx="62">
                    <c:v>No Cost EMI</c:v>
                  </c:pt>
                  <c:pt idx="65">
                    <c:v>UPI</c:v>
                  </c:pt>
                </c:lvl>
                <c:lvl>
                  <c:pt idx="0">
                    <c:v>Senior Citizen</c:v>
                  </c:pt>
                  <c:pt idx="4">
                    <c:v>student</c:v>
                  </c:pt>
                  <c:pt idx="29">
                    <c:v>working adults</c:v>
                  </c:pt>
                </c:lvl>
              </c:multiLvlStrCache>
            </c:multiLvlStrRef>
          </c:cat>
          <c:val>
            <c:numRef>
              <c:f>'Share of each age group'!$C$4:$C$94</c:f>
              <c:numCache>
                <c:formatCode>General</c:formatCode>
                <c:ptCount val="73"/>
                <c:pt idx="0">
                  <c:v>1</c:v>
                </c:pt>
                <c:pt idx="1">
                  <c:v>1</c:v>
                </c:pt>
                <c:pt idx="2">
                  <c:v>1</c:v>
                </c:pt>
                <c:pt idx="3">
                  <c:v>1</c:v>
                </c:pt>
                <c:pt idx="4">
                  <c:v>1</c:v>
                </c:pt>
                <c:pt idx="5">
                  <c:v>1</c:v>
                </c:pt>
                <c:pt idx="6">
                  <c:v>4</c:v>
                </c:pt>
                <c:pt idx="7">
                  <c:v>1</c:v>
                </c:pt>
                <c:pt idx="8">
                  <c:v>1</c:v>
                </c:pt>
                <c:pt idx="9">
                  <c:v>1</c:v>
                </c:pt>
                <c:pt idx="10">
                  <c:v>1</c:v>
                </c:pt>
                <c:pt idx="11">
                  <c:v>2</c:v>
                </c:pt>
                <c:pt idx="12">
                  <c:v>2</c:v>
                </c:pt>
                <c:pt idx="13">
                  <c:v>5</c:v>
                </c:pt>
                <c:pt idx="14">
                  <c:v>2</c:v>
                </c:pt>
                <c:pt idx="15">
                  <c:v>1</c:v>
                </c:pt>
                <c:pt idx="16">
                  <c:v>1</c:v>
                </c:pt>
                <c:pt idx="17">
                  <c:v>1</c:v>
                </c:pt>
                <c:pt idx="18">
                  <c:v>1</c:v>
                </c:pt>
                <c:pt idx="19">
                  <c:v>8</c:v>
                </c:pt>
                <c:pt idx="20">
                  <c:v>1</c:v>
                </c:pt>
                <c:pt idx="21">
                  <c:v>5</c:v>
                </c:pt>
                <c:pt idx="22">
                  <c:v>1</c:v>
                </c:pt>
                <c:pt idx="23">
                  <c:v>3</c:v>
                </c:pt>
                <c:pt idx="24">
                  <c:v>1</c:v>
                </c:pt>
                <c:pt idx="25">
                  <c:v>1</c:v>
                </c:pt>
                <c:pt idx="26">
                  <c:v>1</c:v>
                </c:pt>
                <c:pt idx="27">
                  <c:v>1</c:v>
                </c:pt>
                <c:pt idx="28">
                  <c:v>1</c:v>
                </c:pt>
                <c:pt idx="29">
                  <c:v>1</c:v>
                </c:pt>
                <c:pt idx="30">
                  <c:v>4</c:v>
                </c:pt>
                <c:pt idx="31">
                  <c:v>1</c:v>
                </c:pt>
                <c:pt idx="32">
                  <c:v>1</c:v>
                </c:pt>
                <c:pt idx="33">
                  <c:v>1</c:v>
                </c:pt>
                <c:pt idx="34">
                  <c:v>1</c:v>
                </c:pt>
                <c:pt idx="35">
                  <c:v>1</c:v>
                </c:pt>
                <c:pt idx="36">
                  <c:v>6</c:v>
                </c:pt>
                <c:pt idx="37">
                  <c:v>1</c:v>
                </c:pt>
                <c:pt idx="38">
                  <c:v>1</c:v>
                </c:pt>
                <c:pt idx="39">
                  <c:v>1</c:v>
                </c:pt>
                <c:pt idx="40">
                  <c:v>2</c:v>
                </c:pt>
                <c:pt idx="41">
                  <c:v>1</c:v>
                </c:pt>
                <c:pt idx="42">
                  <c:v>2</c:v>
                </c:pt>
                <c:pt idx="43">
                  <c:v>12</c:v>
                </c:pt>
                <c:pt idx="44">
                  <c:v>15</c:v>
                </c:pt>
                <c:pt idx="45">
                  <c:v>1</c:v>
                </c:pt>
                <c:pt idx="46">
                  <c:v>3</c:v>
                </c:pt>
                <c:pt idx="47">
                  <c:v>2</c:v>
                </c:pt>
                <c:pt idx="48">
                  <c:v>1</c:v>
                </c:pt>
                <c:pt idx="49">
                  <c:v>3</c:v>
                </c:pt>
                <c:pt idx="50">
                  <c:v>12</c:v>
                </c:pt>
                <c:pt idx="51">
                  <c:v>1</c:v>
                </c:pt>
                <c:pt idx="52">
                  <c:v>1</c:v>
                </c:pt>
                <c:pt idx="53">
                  <c:v>2</c:v>
                </c:pt>
                <c:pt idx="54">
                  <c:v>11</c:v>
                </c:pt>
                <c:pt idx="55">
                  <c:v>2</c:v>
                </c:pt>
                <c:pt idx="56">
                  <c:v>20</c:v>
                </c:pt>
                <c:pt idx="57">
                  <c:v>1</c:v>
                </c:pt>
                <c:pt idx="58">
                  <c:v>2</c:v>
                </c:pt>
                <c:pt idx="59">
                  <c:v>5</c:v>
                </c:pt>
                <c:pt idx="60">
                  <c:v>11</c:v>
                </c:pt>
                <c:pt idx="61">
                  <c:v>3</c:v>
                </c:pt>
                <c:pt idx="62">
                  <c:v>2</c:v>
                </c:pt>
                <c:pt idx="63">
                  <c:v>1</c:v>
                </c:pt>
                <c:pt idx="64">
                  <c:v>1</c:v>
                </c:pt>
                <c:pt idx="65">
                  <c:v>1</c:v>
                </c:pt>
                <c:pt idx="66">
                  <c:v>2</c:v>
                </c:pt>
                <c:pt idx="67">
                  <c:v>1</c:v>
                </c:pt>
                <c:pt idx="68">
                  <c:v>3</c:v>
                </c:pt>
                <c:pt idx="69">
                  <c:v>1</c:v>
                </c:pt>
                <c:pt idx="70">
                  <c:v>1</c:v>
                </c:pt>
                <c:pt idx="71">
                  <c:v>1</c:v>
                </c:pt>
                <c:pt idx="72">
                  <c:v>2</c:v>
                </c:pt>
              </c:numCache>
            </c:numRef>
          </c:val>
          <c:extLst>
            <c:ext xmlns:c16="http://schemas.microsoft.com/office/drawing/2014/chart" uri="{C3380CC4-5D6E-409C-BE32-E72D297353CC}">
              <c16:uniqueId val="{00000001-895B-4740-A6E2-9ACD2A73978C}"/>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[VyaaparX_Monthly_Sales_analysis.xlsx]Share of each type of Product!PivotTable18</c:name>
    <c:fmtId val="0"/>
  </c:pivotSource>
  <c:chart>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2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2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2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2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25"/>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26"/>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27"/>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28"/>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29"/>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30"/>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31"/>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32"/>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33"/>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34"/>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35"/>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36"/>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37"/>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38"/>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39"/>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40"/>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41"/>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42"/>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44"/>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45"/>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46"/>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47"/>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'Share of each type of Product'!$B$3</c:f>
              <c:strCache>
                <c:ptCount val="1"/>
                <c:pt idx="0">
                  <c:v>Count of Quantity</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'Share of each type of Product'!$A$4:$A$26</c:f>
              <c:strCache>
                <c:ptCount val="22"/>
                <c:pt idx="0">
                  <c:v>Apparel</c:v>
                </c:pt>
                <c:pt idx="1">
                  <c:v>Art and collections</c:v>
                </c:pt>
                <c:pt idx="2">
                  <c:v>Automotive</c:v>
                </c:pt>
                <c:pt idx="3">
                  <c:v>Beverages</c:v>
                </c:pt>
                <c:pt idx="4">
                  <c:v>Books &amp; Stationeries</c:v>
                </c:pt>
                <c:pt idx="5">
                  <c:v>Confectionaries</c:v>
                </c:pt>
                <c:pt idx="6">
                  <c:v>Cosmetics</c:v>
                </c:pt>
                <c:pt idx="7">
                  <c:v>Drinkware</c:v>
                </c:pt>
                <c:pt idx="8">
                  <c:v>Dry Fruits</c:v>
                </c:pt>
                <c:pt idx="9">
                  <c:v>Electronics</c:v>
                </c:pt>
                <c:pt idx="10">
                  <c:v>Fashion &amp; Acessories</c:v>
                </c:pt>
                <c:pt idx="11">
                  <c:v>Food and Beverages</c:v>
                </c:pt>
                <c:pt idx="12">
                  <c:v>Furniture</c:v>
                </c:pt>
                <c:pt idx="13">
                  <c:v>Hardware</c:v>
                </c:pt>
                <c:pt idx="14">
                  <c:v>Health &amp; Beauty</c:v>
                </c:pt>
                <c:pt idx="15">
                  <c:v>Home &amp; décor</c:v>
                </c:pt>
                <c:pt idx="16">
                  <c:v>Home and kitchen</c:v>
                </c:pt>
                <c:pt idx="17">
                  <c:v>Home and Lifestyle </c:v>
                </c:pt>
                <c:pt idx="18">
                  <c:v>Jewelry</c:v>
                </c:pt>
                <c:pt idx="19">
                  <c:v>Pet Supplies</c:v>
                </c:pt>
                <c:pt idx="20">
                  <c:v>Sports &amp; Fitness</c:v>
                </c:pt>
                <c:pt idx="21">
                  <c:v>Toys</c:v>
                </c:pt>
              </c:strCache>
            </c:strRef>
          </c:cat>
          <c:val>
            <c:numRef>
              <c:f>'Share of each type of Product'!$B$4:$B$26</c:f>
              <c:numCache>
                <c:formatCode>General</c:formatCode>
                <c:ptCount val="22"/>
                <c:pt idx="0">
                  <c:v>1</c:v>
                </c:pt>
                <c:pt idx="1">
                  <c:v>33</c:v>
                </c:pt>
                <c:pt idx="2">
                  <c:v>3</c:v>
                </c:pt>
                <c:pt idx="3">
                  <c:v>8</c:v>
                </c:pt>
                <c:pt idx="4">
                  <c:v>13</c:v>
                </c:pt>
                <c:pt idx="5">
                  <c:v>1</c:v>
                </c:pt>
                <c:pt idx="6">
                  <c:v>2</c:v>
                </c:pt>
                <c:pt idx="7">
                  <c:v>1</c:v>
                </c:pt>
                <c:pt idx="8">
                  <c:v>2</c:v>
                </c:pt>
                <c:pt idx="9">
                  <c:v>80</c:v>
                </c:pt>
                <c:pt idx="10">
                  <c:v>5</c:v>
                </c:pt>
                <c:pt idx="11">
                  <c:v>3</c:v>
                </c:pt>
                <c:pt idx="12">
                  <c:v>3</c:v>
                </c:pt>
                <c:pt idx="13">
                  <c:v>6</c:v>
                </c:pt>
                <c:pt idx="14">
                  <c:v>1</c:v>
                </c:pt>
                <c:pt idx="15">
                  <c:v>18</c:v>
                </c:pt>
                <c:pt idx="16">
                  <c:v>9</c:v>
                </c:pt>
                <c:pt idx="17">
                  <c:v>1</c:v>
                </c:pt>
                <c:pt idx="18">
                  <c:v>1</c:v>
                </c:pt>
                <c:pt idx="19">
                  <c:v>1</c:v>
                </c:pt>
                <c:pt idx="20">
                  <c:v>5</c:v>
                </c:pt>
                <c:pt idx="21">
                  <c:v>3</c:v>
                </c:pt>
              </c:numCache>
            </c:numRef>
          </c:val>
          <c:smooth val="0"/>
          <c:extLst>
            <c:ext xmlns:c16="http://schemas.microsoft.com/office/drawing/2014/chart" uri="{C3380CC4-5D6E-409C-BE32-E72D297353CC}">
              <c16:uniqueId val="{00000000-520F-40C8-BFAB-75A80B99EB4D}"/>
            </c:ext>
          </c:extLst>
        </c:ser>
        <c:ser>
          <c:idx val="1"/>
          <c:order val="1"/>
          <c:tx>
            <c:strRef>
              <c:f>'Share of each type of Product'!$C$3</c:f>
              <c:strCache>
                <c:ptCount val="1"/>
                <c:pt idx="0">
                  <c:v>Sum of Total amount</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'Share of each type of Product'!$A$4:$A$26</c:f>
              <c:strCache>
                <c:ptCount val="22"/>
                <c:pt idx="0">
                  <c:v>Apparel</c:v>
                </c:pt>
                <c:pt idx="1">
                  <c:v>Art and collections</c:v>
                </c:pt>
                <c:pt idx="2">
                  <c:v>Automotive</c:v>
                </c:pt>
                <c:pt idx="3">
                  <c:v>Beverages</c:v>
                </c:pt>
                <c:pt idx="4">
                  <c:v>Books &amp; Stationeries</c:v>
                </c:pt>
                <c:pt idx="5">
                  <c:v>Confectionaries</c:v>
                </c:pt>
                <c:pt idx="6">
                  <c:v>Cosmetics</c:v>
                </c:pt>
                <c:pt idx="7">
                  <c:v>Drinkware</c:v>
                </c:pt>
                <c:pt idx="8">
                  <c:v>Dry Fruits</c:v>
                </c:pt>
                <c:pt idx="9">
                  <c:v>Electronics</c:v>
                </c:pt>
                <c:pt idx="10">
                  <c:v>Fashion &amp; Acessories</c:v>
                </c:pt>
                <c:pt idx="11">
                  <c:v>Food and Beverages</c:v>
                </c:pt>
                <c:pt idx="12">
                  <c:v>Furniture</c:v>
                </c:pt>
                <c:pt idx="13">
                  <c:v>Hardware</c:v>
                </c:pt>
                <c:pt idx="14">
                  <c:v>Health &amp; Beauty</c:v>
                </c:pt>
                <c:pt idx="15">
                  <c:v>Home &amp; décor</c:v>
                </c:pt>
                <c:pt idx="16">
                  <c:v>Home and kitchen</c:v>
                </c:pt>
                <c:pt idx="17">
                  <c:v>Home and Lifestyle </c:v>
                </c:pt>
                <c:pt idx="18">
                  <c:v>Jewelry</c:v>
                </c:pt>
                <c:pt idx="19">
                  <c:v>Pet Supplies</c:v>
                </c:pt>
                <c:pt idx="20">
                  <c:v>Sports &amp; Fitness</c:v>
                </c:pt>
                <c:pt idx="21">
                  <c:v>Toys</c:v>
                </c:pt>
              </c:strCache>
            </c:strRef>
          </c:cat>
          <c:val>
            <c:numRef>
              <c:f>'Share of each type of Product'!$C$4:$C$26</c:f>
              <c:numCache>
                <c:formatCode>_ [$₹-4009]\ * #,##0.00_ ;_ [$₹-4009]\ * \-#,##0.00_ ;_ [$₹-4009]\ * "-"??_ ;_ @_ </c:formatCode>
                <c:ptCount val="22"/>
                <c:pt idx="0">
                  <c:v>27720</c:v>
                </c:pt>
                <c:pt idx="1">
                  <c:v>4756657</c:v>
                </c:pt>
                <c:pt idx="2">
                  <c:v>465400</c:v>
                </c:pt>
                <c:pt idx="3">
                  <c:v>190147.5</c:v>
                </c:pt>
                <c:pt idx="4">
                  <c:v>80343.100000000006</c:v>
                </c:pt>
                <c:pt idx="5">
                  <c:v>4500</c:v>
                </c:pt>
                <c:pt idx="6">
                  <c:v>36750</c:v>
                </c:pt>
                <c:pt idx="7">
                  <c:v>48608</c:v>
                </c:pt>
                <c:pt idx="8">
                  <c:v>17310</c:v>
                </c:pt>
                <c:pt idx="9">
                  <c:v>9820809.1999999993</c:v>
                </c:pt>
                <c:pt idx="10">
                  <c:v>601625</c:v>
                </c:pt>
                <c:pt idx="11">
                  <c:v>99880</c:v>
                </c:pt>
                <c:pt idx="12">
                  <c:v>189550</c:v>
                </c:pt>
                <c:pt idx="13">
                  <c:v>162284</c:v>
                </c:pt>
                <c:pt idx="14">
                  <c:v>6615</c:v>
                </c:pt>
                <c:pt idx="15">
                  <c:v>3553380</c:v>
                </c:pt>
                <c:pt idx="16">
                  <c:v>341310</c:v>
                </c:pt>
                <c:pt idx="17">
                  <c:v>4200</c:v>
                </c:pt>
                <c:pt idx="18">
                  <c:v>200000</c:v>
                </c:pt>
                <c:pt idx="19">
                  <c:v>48000</c:v>
                </c:pt>
                <c:pt idx="20">
                  <c:v>612300</c:v>
                </c:pt>
                <c:pt idx="21">
                  <c:v>65880</c:v>
                </c:pt>
              </c:numCache>
            </c:numRef>
          </c:val>
          <c:smooth val="0"/>
          <c:extLst>
            <c:ext xmlns:c16="http://schemas.microsoft.com/office/drawing/2014/chart" uri="{C3380CC4-5D6E-409C-BE32-E72D297353CC}">
              <c16:uniqueId val="{00000001-520F-40C8-BFAB-75A80B99EB4D}"/>
            </c:ext>
          </c:extLst>
        </c:ser>
        <c:dLbls>
          <c:showLegendKey val="0"/>
          <c:showVal val="0"/>
          <c:showCatName val="0"/>
          <c:showSerName val="0"/>
          <c:showPercent val="0"/>
          <c:showBubbleSize val="0"/>
        </c:dLbls>
        <c:marker val="1"/>
        <c:smooth val="0"/>
        <c:axId val="317713728"/>
        <c:axId val="386936224"/>
      </c:lineChart>
      <c:valAx>
        <c:axId val="386936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713728"/>
        <c:crossesAt val="2"/>
        <c:crossBetween val="between"/>
      </c:valAx>
      <c:catAx>
        <c:axId val="31771372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693622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[VyaaparX_Monthly_Sales_analysis.xlsx]Share of each type of Product!PivotTable3</c:name>
    <c:fmtId val="3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'Share of each type of Product'!$B$209</c:f>
              <c:strCache>
                <c:ptCount val="1"/>
                <c:pt idx="0">
                  <c:v>Total</c:v>
                </c:pt>
              </c:strCache>
            </c:strRef>
          </c:tx>
          <c:spPr>
            <a:solidFill>
              <a:schemeClr val="accent1"/>
            </a:solidFill>
            <a:ln>
              <a:noFill/>
            </a:ln>
            <a:effectLst/>
          </c:spPr>
          <c:invertIfNegative val="0"/>
          <c:cat>
            <c:strRef>
              <c:f>'Share of each type of Product'!$A$210:$A$232</c:f>
              <c:strCache>
                <c:ptCount val="22"/>
                <c:pt idx="0">
                  <c:v>Apparel</c:v>
                </c:pt>
                <c:pt idx="1">
                  <c:v>Art and collections</c:v>
                </c:pt>
                <c:pt idx="2">
                  <c:v>Automotive</c:v>
                </c:pt>
                <c:pt idx="3">
                  <c:v>Beverages</c:v>
                </c:pt>
                <c:pt idx="4">
                  <c:v>Books &amp; Stationeries</c:v>
                </c:pt>
                <c:pt idx="5">
                  <c:v>Confectionaries</c:v>
                </c:pt>
                <c:pt idx="6">
                  <c:v>Cosmetics</c:v>
                </c:pt>
                <c:pt idx="7">
                  <c:v>Drinkware</c:v>
                </c:pt>
                <c:pt idx="8">
                  <c:v>Dry Fruits</c:v>
                </c:pt>
                <c:pt idx="9">
                  <c:v>Electronics</c:v>
                </c:pt>
                <c:pt idx="10">
                  <c:v>Fashion &amp; Acessories</c:v>
                </c:pt>
                <c:pt idx="11">
                  <c:v>Food and Beverages</c:v>
                </c:pt>
                <c:pt idx="12">
                  <c:v>Furniture</c:v>
                </c:pt>
                <c:pt idx="13">
                  <c:v>Hardware</c:v>
                </c:pt>
                <c:pt idx="14">
                  <c:v>Health &amp; Beauty</c:v>
                </c:pt>
                <c:pt idx="15">
                  <c:v>Home &amp; décor</c:v>
                </c:pt>
                <c:pt idx="16">
                  <c:v>Home and kitchen</c:v>
                </c:pt>
                <c:pt idx="17">
                  <c:v>Home and Lifestyle </c:v>
                </c:pt>
                <c:pt idx="18">
                  <c:v>Jewelry</c:v>
                </c:pt>
                <c:pt idx="19">
                  <c:v>Pet Supplies</c:v>
                </c:pt>
                <c:pt idx="20">
                  <c:v>Sports &amp; Fitness</c:v>
                </c:pt>
                <c:pt idx="21">
                  <c:v>Toys</c:v>
                </c:pt>
              </c:strCache>
            </c:strRef>
          </c:cat>
          <c:val>
            <c:numRef>
              <c:f>'Share of each type of Product'!$B$210:$B$232</c:f>
              <c:numCache>
                <c:formatCode>General</c:formatCode>
                <c:ptCount val="22"/>
                <c:pt idx="0">
                  <c:v>1</c:v>
                </c:pt>
                <c:pt idx="1">
                  <c:v>33</c:v>
                </c:pt>
                <c:pt idx="2">
                  <c:v>3</c:v>
                </c:pt>
                <c:pt idx="3">
                  <c:v>8</c:v>
                </c:pt>
                <c:pt idx="4">
                  <c:v>13</c:v>
                </c:pt>
                <c:pt idx="5">
                  <c:v>1</c:v>
                </c:pt>
                <c:pt idx="6">
                  <c:v>2</c:v>
                </c:pt>
                <c:pt idx="7">
                  <c:v>1</c:v>
                </c:pt>
                <c:pt idx="8">
                  <c:v>2</c:v>
                </c:pt>
                <c:pt idx="9">
                  <c:v>80</c:v>
                </c:pt>
                <c:pt idx="10">
                  <c:v>5</c:v>
                </c:pt>
                <c:pt idx="11">
                  <c:v>3</c:v>
                </c:pt>
                <c:pt idx="12">
                  <c:v>3</c:v>
                </c:pt>
                <c:pt idx="13">
                  <c:v>6</c:v>
                </c:pt>
                <c:pt idx="14">
                  <c:v>1</c:v>
                </c:pt>
                <c:pt idx="15">
                  <c:v>18</c:v>
                </c:pt>
                <c:pt idx="16">
                  <c:v>9</c:v>
                </c:pt>
                <c:pt idx="17">
                  <c:v>1</c:v>
                </c:pt>
                <c:pt idx="18">
                  <c:v>1</c:v>
                </c:pt>
                <c:pt idx="19">
                  <c:v>1</c:v>
                </c:pt>
                <c:pt idx="20">
                  <c:v>5</c:v>
                </c:pt>
                <c:pt idx="21">
                  <c:v>3</c:v>
                </c:pt>
              </c:numCache>
            </c:numRef>
          </c:val>
          <c:extLst>
            <c:ext xmlns:c16="http://schemas.microsoft.com/office/drawing/2014/chart" uri="{C3380CC4-5D6E-409C-BE32-E72D297353CC}">
              <c16:uniqueId val="{00000000-08F8-4AD9-A573-9C792FC05EC9}"/>
            </c:ext>
          </c:extLst>
        </c:ser>
        <c:dLbls>
          <c:showLegendKey val="0"/>
          <c:showVal val="0"/>
          <c:showCatName val="0"/>
          <c:showSerName val="0"/>
          <c:showPercent val="0"/>
          <c:showBubbleSize val="0"/>
        </c:dLbls>
        <c:gapWidth val="182"/>
        <c:axId val="1141763935"/>
        <c:axId val="809695615"/>
      </c:barChart>
      <c:catAx>
        <c:axId val="11417639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9695615"/>
        <c:crosses val="autoZero"/>
        <c:auto val="1"/>
        <c:lblAlgn val="ctr"/>
        <c:lblOffset val="100"/>
        <c:noMultiLvlLbl val="0"/>
      </c:catAx>
      <c:valAx>
        <c:axId val="8096956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1763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[VyaaparX_Monthly_Sales_analysis.xlsx]Share of each type of Product!PivotTable2</c:name>
    <c:fmtId val="8"/>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s>
    <c:plotArea>
      <c:layout/>
      <c:doughnutChart>
        <c:varyColors val="1"/>
        <c:ser>
          <c:idx val="0"/>
          <c:order val="0"/>
          <c:tx>
            <c:strRef>
              <c:f>'Share of each type of Product'!$B$33</c:f>
              <c:strCache>
                <c:ptCount val="1"/>
                <c:pt idx="0">
                  <c:v>Sum of Net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57A-4644-8C89-3AC7A0040A1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57A-4644-8C89-3AC7A0040A1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57A-4644-8C89-3AC7A0040A1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57A-4644-8C89-3AC7A0040A1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57A-4644-8C89-3AC7A0040A1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57A-4644-8C89-3AC7A0040A1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457A-4644-8C89-3AC7A0040A19}"/>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457A-4644-8C89-3AC7A0040A19}"/>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457A-4644-8C89-3AC7A0040A19}"/>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457A-4644-8C89-3AC7A0040A19}"/>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457A-4644-8C89-3AC7A0040A19}"/>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457A-4644-8C89-3AC7A0040A19}"/>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457A-4644-8C89-3AC7A0040A19}"/>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457A-4644-8C89-3AC7A0040A19}"/>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457A-4644-8C89-3AC7A0040A19}"/>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457A-4644-8C89-3AC7A0040A19}"/>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457A-4644-8C89-3AC7A0040A19}"/>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457A-4644-8C89-3AC7A0040A19}"/>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457A-4644-8C89-3AC7A0040A19}"/>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457A-4644-8C89-3AC7A0040A19}"/>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457A-4644-8C89-3AC7A0040A19}"/>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457A-4644-8C89-3AC7A0040A19}"/>
              </c:ext>
            </c:extLst>
          </c:dPt>
          <c:cat>
            <c:strRef>
              <c:f>'Share of each type of Product'!$A$34:$A$56</c:f>
              <c:strCache>
                <c:ptCount val="22"/>
                <c:pt idx="0">
                  <c:v>Apparel</c:v>
                </c:pt>
                <c:pt idx="1">
                  <c:v>Art and collections</c:v>
                </c:pt>
                <c:pt idx="2">
                  <c:v>Automotive</c:v>
                </c:pt>
                <c:pt idx="3">
                  <c:v>Beverages</c:v>
                </c:pt>
                <c:pt idx="4">
                  <c:v>Books &amp; Stationeries</c:v>
                </c:pt>
                <c:pt idx="5">
                  <c:v>Confectionaries</c:v>
                </c:pt>
                <c:pt idx="6">
                  <c:v>Cosmetics</c:v>
                </c:pt>
                <c:pt idx="7">
                  <c:v>Drinkware</c:v>
                </c:pt>
                <c:pt idx="8">
                  <c:v>Dry Fruits</c:v>
                </c:pt>
                <c:pt idx="9">
                  <c:v>Electronics</c:v>
                </c:pt>
                <c:pt idx="10">
                  <c:v>Fashion &amp; Acessories</c:v>
                </c:pt>
                <c:pt idx="11">
                  <c:v>Food and Beverages</c:v>
                </c:pt>
                <c:pt idx="12">
                  <c:v>Furniture</c:v>
                </c:pt>
                <c:pt idx="13">
                  <c:v>Hardware</c:v>
                </c:pt>
                <c:pt idx="14">
                  <c:v>Health &amp; Beauty</c:v>
                </c:pt>
                <c:pt idx="15">
                  <c:v>Home &amp; décor</c:v>
                </c:pt>
                <c:pt idx="16">
                  <c:v>Home and kitchen</c:v>
                </c:pt>
                <c:pt idx="17">
                  <c:v>Home and Lifestyle </c:v>
                </c:pt>
                <c:pt idx="18">
                  <c:v>Jewelry</c:v>
                </c:pt>
                <c:pt idx="19">
                  <c:v>Pet Supplies</c:v>
                </c:pt>
                <c:pt idx="20">
                  <c:v>Sports &amp; Fitness</c:v>
                </c:pt>
                <c:pt idx="21">
                  <c:v>Toys</c:v>
                </c:pt>
              </c:strCache>
            </c:strRef>
          </c:cat>
          <c:val>
            <c:numRef>
              <c:f>'Share of each type of Product'!$B$34:$B$56</c:f>
              <c:numCache>
                <c:formatCode>_ [$₹-4009]\ * #,##0.00_ ;_ [$₹-4009]\ * \-#,##0.00_ ;_ [$₹-4009]\ * "-"??_ ;_ @_ </c:formatCode>
                <c:ptCount val="22"/>
                <c:pt idx="0">
                  <c:v>27720</c:v>
                </c:pt>
                <c:pt idx="1">
                  <c:v>4756657</c:v>
                </c:pt>
                <c:pt idx="2">
                  <c:v>465400</c:v>
                </c:pt>
                <c:pt idx="3">
                  <c:v>190147.5</c:v>
                </c:pt>
                <c:pt idx="4">
                  <c:v>80343.100000000006</c:v>
                </c:pt>
                <c:pt idx="5">
                  <c:v>4500</c:v>
                </c:pt>
                <c:pt idx="6">
                  <c:v>36750</c:v>
                </c:pt>
                <c:pt idx="7">
                  <c:v>48608</c:v>
                </c:pt>
                <c:pt idx="8">
                  <c:v>17310</c:v>
                </c:pt>
                <c:pt idx="9">
                  <c:v>9820809.1999999993</c:v>
                </c:pt>
                <c:pt idx="10">
                  <c:v>601625</c:v>
                </c:pt>
                <c:pt idx="11">
                  <c:v>99880</c:v>
                </c:pt>
                <c:pt idx="12">
                  <c:v>189550</c:v>
                </c:pt>
                <c:pt idx="13">
                  <c:v>162284</c:v>
                </c:pt>
                <c:pt idx="14">
                  <c:v>6615</c:v>
                </c:pt>
                <c:pt idx="15">
                  <c:v>3553380</c:v>
                </c:pt>
                <c:pt idx="16">
                  <c:v>341310</c:v>
                </c:pt>
                <c:pt idx="17">
                  <c:v>4200</c:v>
                </c:pt>
                <c:pt idx="18">
                  <c:v>200000</c:v>
                </c:pt>
                <c:pt idx="19">
                  <c:v>48000</c:v>
                </c:pt>
                <c:pt idx="20">
                  <c:v>612300</c:v>
                </c:pt>
                <c:pt idx="21">
                  <c:v>65880</c:v>
                </c:pt>
              </c:numCache>
            </c:numRef>
          </c:val>
          <c:extLst>
            <c:ext xmlns:c16="http://schemas.microsoft.com/office/drawing/2014/chart" uri="{C3380CC4-5D6E-409C-BE32-E72D297353CC}">
              <c16:uniqueId val="{00000000-433B-4C91-AA9C-5F119F932B4C}"/>
            </c:ext>
          </c:extLst>
        </c:ser>
        <c:ser>
          <c:idx val="1"/>
          <c:order val="1"/>
          <c:tx>
            <c:strRef>
              <c:f>'Share of each type of Product'!$C$33</c:f>
              <c:strCache>
                <c:ptCount val="1"/>
                <c:pt idx="0">
                  <c:v>Sum of Surplus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D-457A-4644-8C89-3AC7A0040A1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F-457A-4644-8C89-3AC7A0040A1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31-457A-4644-8C89-3AC7A0040A1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33-457A-4644-8C89-3AC7A0040A1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35-457A-4644-8C89-3AC7A0040A1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37-457A-4644-8C89-3AC7A0040A1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39-457A-4644-8C89-3AC7A0040A19}"/>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3B-457A-4644-8C89-3AC7A0040A19}"/>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3D-457A-4644-8C89-3AC7A0040A19}"/>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3F-457A-4644-8C89-3AC7A0040A19}"/>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41-457A-4644-8C89-3AC7A0040A19}"/>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43-457A-4644-8C89-3AC7A0040A19}"/>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45-457A-4644-8C89-3AC7A0040A19}"/>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47-457A-4644-8C89-3AC7A0040A19}"/>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49-457A-4644-8C89-3AC7A0040A19}"/>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4B-457A-4644-8C89-3AC7A0040A19}"/>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4D-457A-4644-8C89-3AC7A0040A19}"/>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4F-457A-4644-8C89-3AC7A0040A19}"/>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51-457A-4644-8C89-3AC7A0040A19}"/>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53-457A-4644-8C89-3AC7A0040A19}"/>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55-457A-4644-8C89-3AC7A0040A19}"/>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57-457A-4644-8C89-3AC7A0040A19}"/>
              </c:ext>
            </c:extLst>
          </c:dPt>
          <c:cat>
            <c:strRef>
              <c:f>'Share of each type of Product'!$A$34:$A$56</c:f>
              <c:strCache>
                <c:ptCount val="22"/>
                <c:pt idx="0">
                  <c:v>Apparel</c:v>
                </c:pt>
                <c:pt idx="1">
                  <c:v>Art and collections</c:v>
                </c:pt>
                <c:pt idx="2">
                  <c:v>Automotive</c:v>
                </c:pt>
                <c:pt idx="3">
                  <c:v>Beverages</c:v>
                </c:pt>
                <c:pt idx="4">
                  <c:v>Books &amp; Stationeries</c:v>
                </c:pt>
                <c:pt idx="5">
                  <c:v>Confectionaries</c:v>
                </c:pt>
                <c:pt idx="6">
                  <c:v>Cosmetics</c:v>
                </c:pt>
                <c:pt idx="7">
                  <c:v>Drinkware</c:v>
                </c:pt>
                <c:pt idx="8">
                  <c:v>Dry Fruits</c:v>
                </c:pt>
                <c:pt idx="9">
                  <c:v>Electronics</c:v>
                </c:pt>
                <c:pt idx="10">
                  <c:v>Fashion &amp; Acessories</c:v>
                </c:pt>
                <c:pt idx="11">
                  <c:v>Food and Beverages</c:v>
                </c:pt>
                <c:pt idx="12">
                  <c:v>Furniture</c:v>
                </c:pt>
                <c:pt idx="13">
                  <c:v>Hardware</c:v>
                </c:pt>
                <c:pt idx="14">
                  <c:v>Health &amp; Beauty</c:v>
                </c:pt>
                <c:pt idx="15">
                  <c:v>Home &amp; décor</c:v>
                </c:pt>
                <c:pt idx="16">
                  <c:v>Home and kitchen</c:v>
                </c:pt>
                <c:pt idx="17">
                  <c:v>Home and Lifestyle </c:v>
                </c:pt>
                <c:pt idx="18">
                  <c:v>Jewelry</c:v>
                </c:pt>
                <c:pt idx="19">
                  <c:v>Pet Supplies</c:v>
                </c:pt>
                <c:pt idx="20">
                  <c:v>Sports &amp; Fitness</c:v>
                </c:pt>
                <c:pt idx="21">
                  <c:v>Toys</c:v>
                </c:pt>
              </c:strCache>
            </c:strRef>
          </c:cat>
          <c:val>
            <c:numRef>
              <c:f>'Share of each type of Product'!$C$34:$C$56</c:f>
              <c:numCache>
                <c:formatCode>_ [$₹-4009]\ * #,##0.00_ ;_ [$₹-4009]\ * \-#,##0.00_ ;_ [$₹-4009]\ * "-"??_ ;_ @_ </c:formatCode>
                <c:ptCount val="22"/>
                <c:pt idx="0">
                  <c:v>4620</c:v>
                </c:pt>
                <c:pt idx="1">
                  <c:v>879467</c:v>
                </c:pt>
                <c:pt idx="2">
                  <c:v>113400</c:v>
                </c:pt>
                <c:pt idx="3">
                  <c:v>35597.5</c:v>
                </c:pt>
                <c:pt idx="4">
                  <c:v>21909.1</c:v>
                </c:pt>
                <c:pt idx="5">
                  <c:v>900</c:v>
                </c:pt>
                <c:pt idx="6">
                  <c:v>4950</c:v>
                </c:pt>
                <c:pt idx="7">
                  <c:v>9408</c:v>
                </c:pt>
                <c:pt idx="8">
                  <c:v>3160</c:v>
                </c:pt>
                <c:pt idx="9">
                  <c:v>1926843.2</c:v>
                </c:pt>
                <c:pt idx="10">
                  <c:v>142925</c:v>
                </c:pt>
                <c:pt idx="11">
                  <c:v>23330</c:v>
                </c:pt>
                <c:pt idx="12">
                  <c:v>38550</c:v>
                </c:pt>
                <c:pt idx="13">
                  <c:v>40384</c:v>
                </c:pt>
                <c:pt idx="14">
                  <c:v>1715</c:v>
                </c:pt>
                <c:pt idx="15">
                  <c:v>659630</c:v>
                </c:pt>
                <c:pt idx="16">
                  <c:v>60710</c:v>
                </c:pt>
                <c:pt idx="17">
                  <c:v>1200</c:v>
                </c:pt>
                <c:pt idx="18">
                  <c:v>40000</c:v>
                </c:pt>
                <c:pt idx="19">
                  <c:v>10500</c:v>
                </c:pt>
                <c:pt idx="20">
                  <c:v>160300</c:v>
                </c:pt>
                <c:pt idx="21">
                  <c:v>11430</c:v>
                </c:pt>
              </c:numCache>
            </c:numRef>
          </c:val>
          <c:extLst>
            <c:ext xmlns:c16="http://schemas.microsoft.com/office/drawing/2014/chart" uri="{C3380CC4-5D6E-409C-BE32-E72D297353CC}">
              <c16:uniqueId val="{00000001-433B-4C91-AA9C-5F119F932B4C}"/>
            </c:ext>
          </c:extLst>
        </c:ser>
        <c:ser>
          <c:idx val="2"/>
          <c:order val="2"/>
          <c:tx>
            <c:strRef>
              <c:f>'Share of each type of Product'!$D$33</c:f>
              <c:strCache>
                <c:ptCount val="1"/>
                <c:pt idx="0">
                  <c:v>Count of Quantity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59-457A-4644-8C89-3AC7A0040A1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5B-457A-4644-8C89-3AC7A0040A1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5D-457A-4644-8C89-3AC7A0040A1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5F-457A-4644-8C89-3AC7A0040A1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61-457A-4644-8C89-3AC7A0040A1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63-457A-4644-8C89-3AC7A0040A1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65-457A-4644-8C89-3AC7A0040A19}"/>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67-457A-4644-8C89-3AC7A0040A19}"/>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69-457A-4644-8C89-3AC7A0040A19}"/>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6B-457A-4644-8C89-3AC7A0040A19}"/>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6D-457A-4644-8C89-3AC7A0040A19}"/>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6F-457A-4644-8C89-3AC7A0040A19}"/>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71-457A-4644-8C89-3AC7A0040A19}"/>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73-457A-4644-8C89-3AC7A0040A19}"/>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75-457A-4644-8C89-3AC7A0040A19}"/>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77-457A-4644-8C89-3AC7A0040A19}"/>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79-457A-4644-8C89-3AC7A0040A19}"/>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7B-457A-4644-8C89-3AC7A0040A19}"/>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7D-457A-4644-8C89-3AC7A0040A19}"/>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7F-457A-4644-8C89-3AC7A0040A19}"/>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81-457A-4644-8C89-3AC7A0040A19}"/>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83-457A-4644-8C89-3AC7A0040A19}"/>
              </c:ext>
            </c:extLst>
          </c:dPt>
          <c:cat>
            <c:strRef>
              <c:f>'Share of each type of Product'!$A$34:$A$56</c:f>
              <c:strCache>
                <c:ptCount val="22"/>
                <c:pt idx="0">
                  <c:v>Apparel</c:v>
                </c:pt>
                <c:pt idx="1">
                  <c:v>Art and collections</c:v>
                </c:pt>
                <c:pt idx="2">
                  <c:v>Automotive</c:v>
                </c:pt>
                <c:pt idx="3">
                  <c:v>Beverages</c:v>
                </c:pt>
                <c:pt idx="4">
                  <c:v>Books &amp; Stationeries</c:v>
                </c:pt>
                <c:pt idx="5">
                  <c:v>Confectionaries</c:v>
                </c:pt>
                <c:pt idx="6">
                  <c:v>Cosmetics</c:v>
                </c:pt>
                <c:pt idx="7">
                  <c:v>Drinkware</c:v>
                </c:pt>
                <c:pt idx="8">
                  <c:v>Dry Fruits</c:v>
                </c:pt>
                <c:pt idx="9">
                  <c:v>Electronics</c:v>
                </c:pt>
                <c:pt idx="10">
                  <c:v>Fashion &amp; Acessories</c:v>
                </c:pt>
                <c:pt idx="11">
                  <c:v>Food and Beverages</c:v>
                </c:pt>
                <c:pt idx="12">
                  <c:v>Furniture</c:v>
                </c:pt>
                <c:pt idx="13">
                  <c:v>Hardware</c:v>
                </c:pt>
                <c:pt idx="14">
                  <c:v>Health &amp; Beauty</c:v>
                </c:pt>
                <c:pt idx="15">
                  <c:v>Home &amp; décor</c:v>
                </c:pt>
                <c:pt idx="16">
                  <c:v>Home and kitchen</c:v>
                </c:pt>
                <c:pt idx="17">
                  <c:v>Home and Lifestyle </c:v>
                </c:pt>
                <c:pt idx="18">
                  <c:v>Jewelry</c:v>
                </c:pt>
                <c:pt idx="19">
                  <c:v>Pet Supplies</c:v>
                </c:pt>
                <c:pt idx="20">
                  <c:v>Sports &amp; Fitness</c:v>
                </c:pt>
                <c:pt idx="21">
                  <c:v>Toys</c:v>
                </c:pt>
              </c:strCache>
            </c:strRef>
          </c:cat>
          <c:val>
            <c:numRef>
              <c:f>'Share of each type of Product'!$D$34:$D$56</c:f>
              <c:numCache>
                <c:formatCode>General</c:formatCode>
                <c:ptCount val="22"/>
                <c:pt idx="0">
                  <c:v>1</c:v>
                </c:pt>
                <c:pt idx="1">
                  <c:v>33</c:v>
                </c:pt>
                <c:pt idx="2">
                  <c:v>3</c:v>
                </c:pt>
                <c:pt idx="3">
                  <c:v>8</c:v>
                </c:pt>
                <c:pt idx="4">
                  <c:v>13</c:v>
                </c:pt>
                <c:pt idx="5">
                  <c:v>1</c:v>
                </c:pt>
                <c:pt idx="6">
                  <c:v>2</c:v>
                </c:pt>
                <c:pt idx="7">
                  <c:v>1</c:v>
                </c:pt>
                <c:pt idx="8">
                  <c:v>2</c:v>
                </c:pt>
                <c:pt idx="9">
                  <c:v>80</c:v>
                </c:pt>
                <c:pt idx="10">
                  <c:v>5</c:v>
                </c:pt>
                <c:pt idx="11">
                  <c:v>3</c:v>
                </c:pt>
                <c:pt idx="12">
                  <c:v>3</c:v>
                </c:pt>
                <c:pt idx="13">
                  <c:v>6</c:v>
                </c:pt>
                <c:pt idx="14">
                  <c:v>1</c:v>
                </c:pt>
                <c:pt idx="15">
                  <c:v>18</c:v>
                </c:pt>
                <c:pt idx="16">
                  <c:v>9</c:v>
                </c:pt>
                <c:pt idx="17">
                  <c:v>1</c:v>
                </c:pt>
                <c:pt idx="18">
                  <c:v>1</c:v>
                </c:pt>
                <c:pt idx="19">
                  <c:v>1</c:v>
                </c:pt>
                <c:pt idx="20">
                  <c:v>5</c:v>
                </c:pt>
                <c:pt idx="21">
                  <c:v>3</c:v>
                </c:pt>
              </c:numCache>
            </c:numRef>
          </c:val>
          <c:extLst>
            <c:ext xmlns:c16="http://schemas.microsoft.com/office/drawing/2014/chart" uri="{C3380CC4-5D6E-409C-BE32-E72D297353CC}">
              <c16:uniqueId val="{00000002-433B-4C91-AA9C-5F119F932B4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[VyaaparX_Monthly_Sales_analysis.xlsx]Share of each type of Product!PivotTable5</c:name>
    <c:fmtId val="4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s>
    <c:plotArea>
      <c:layout/>
      <c:doughnutChart>
        <c:varyColors val="1"/>
        <c:ser>
          <c:idx val="0"/>
          <c:order val="0"/>
          <c:tx>
            <c:strRef>
              <c:f>'Share of each type of Product'!$B$246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0F5-4A5F-A07D-4F728733AD4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0F5-4A5F-A07D-4F728733AD4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0F5-4A5F-A07D-4F728733AD4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0F5-4A5F-A07D-4F728733AD4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0F5-4A5F-A07D-4F728733AD4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0F5-4A5F-A07D-4F728733AD4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F0F5-4A5F-A07D-4F728733AD42}"/>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F0F5-4A5F-A07D-4F728733AD42}"/>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F0F5-4A5F-A07D-4F728733AD42}"/>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F0F5-4A5F-A07D-4F728733AD42}"/>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F0F5-4A5F-A07D-4F728733AD42}"/>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F0F5-4A5F-A07D-4F728733AD42}"/>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F0F5-4A5F-A07D-4F728733AD42}"/>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F0F5-4A5F-A07D-4F728733AD42}"/>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F0F5-4A5F-A07D-4F728733AD42}"/>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F0F5-4A5F-A07D-4F728733AD42}"/>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F0F5-4A5F-A07D-4F728733AD42}"/>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F0F5-4A5F-A07D-4F728733AD42}"/>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F0F5-4A5F-A07D-4F728733AD42}"/>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F0F5-4A5F-A07D-4F728733AD42}"/>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F0F5-4A5F-A07D-4F728733AD42}"/>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F0F5-4A5F-A07D-4F728733AD42}"/>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F0F5-4A5F-A07D-4F728733AD42}"/>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F0F5-4A5F-A07D-4F728733AD42}"/>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F0F5-4A5F-A07D-4F728733AD42}"/>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F0F5-4A5F-A07D-4F728733AD42}"/>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F0F5-4A5F-A07D-4F728733AD42}"/>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F0F5-4A5F-A07D-4F728733AD42}"/>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39-F0F5-4A5F-A07D-4F728733AD42}"/>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F0F5-4A5F-A07D-4F728733AD42}"/>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3D-F0F5-4A5F-A07D-4F728733AD42}"/>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3F-F0F5-4A5F-A07D-4F728733AD42}"/>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41-F0F5-4A5F-A07D-4F728733AD42}"/>
              </c:ext>
            </c:extLst>
          </c:dPt>
          <c:dPt>
            <c:idx val="3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43-F0F5-4A5F-A07D-4F728733AD42}"/>
              </c:ext>
            </c:extLst>
          </c:dPt>
          <c:dPt>
            <c:idx val="3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45-F0F5-4A5F-A07D-4F728733AD42}"/>
              </c:ext>
            </c:extLst>
          </c:dPt>
          <c:dPt>
            <c:idx val="3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47-F0F5-4A5F-A07D-4F728733AD42}"/>
              </c:ext>
            </c:extLst>
          </c:dPt>
          <c:dPt>
            <c:idx val="3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49-F0F5-4A5F-A07D-4F728733AD42}"/>
              </c:ext>
            </c:extLst>
          </c:dPt>
          <c:dPt>
            <c:idx val="3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4B-F0F5-4A5F-A07D-4F728733AD42}"/>
              </c:ext>
            </c:extLst>
          </c:dPt>
          <c:dPt>
            <c:idx val="3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4D-F0F5-4A5F-A07D-4F728733AD42}"/>
              </c:ext>
            </c:extLst>
          </c:dPt>
          <c:dPt>
            <c:idx val="3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4F-F0F5-4A5F-A07D-4F728733AD42}"/>
              </c:ext>
            </c:extLst>
          </c:dPt>
          <c:dPt>
            <c:idx val="4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51-F0F5-4A5F-A07D-4F728733AD42}"/>
              </c:ext>
            </c:extLst>
          </c:dPt>
          <c:dPt>
            <c:idx val="4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53-F0F5-4A5F-A07D-4F728733AD42}"/>
              </c:ext>
            </c:extLst>
          </c:dPt>
          <c:dPt>
            <c:idx val="4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55-F0F5-4A5F-A07D-4F728733AD42}"/>
              </c:ext>
            </c:extLst>
          </c:dPt>
          <c:dPt>
            <c:idx val="4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057-F0F5-4A5F-A07D-4F728733AD42}"/>
              </c:ext>
            </c:extLst>
          </c:dPt>
          <c:dPt>
            <c:idx val="4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59-F0F5-4A5F-A07D-4F728733AD42}"/>
              </c:ext>
            </c:extLst>
          </c:dPt>
          <c:dPt>
            <c:idx val="4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5B-F0F5-4A5F-A07D-4F728733AD42}"/>
              </c:ext>
            </c:extLst>
          </c:dPt>
          <c:dPt>
            <c:idx val="4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5D-F0F5-4A5F-A07D-4F728733AD42}"/>
              </c:ext>
            </c:extLst>
          </c:dPt>
          <c:dPt>
            <c:idx val="4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5F-F0F5-4A5F-A07D-4F728733AD42}"/>
              </c:ext>
            </c:extLst>
          </c:dPt>
          <c:dPt>
            <c:idx val="4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61-F0F5-4A5F-A07D-4F728733AD42}"/>
              </c:ext>
            </c:extLst>
          </c:dPt>
          <c:dPt>
            <c:idx val="4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063-F0F5-4A5F-A07D-4F728733AD42}"/>
              </c:ext>
            </c:extLst>
          </c:dPt>
          <c:dPt>
            <c:idx val="5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065-F0F5-4A5F-A07D-4F728733AD42}"/>
              </c:ext>
            </c:extLst>
          </c:dPt>
          <c:dPt>
            <c:idx val="5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067-F0F5-4A5F-A07D-4F728733AD42}"/>
              </c:ext>
            </c:extLst>
          </c:dPt>
          <c:dPt>
            <c:idx val="5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069-F0F5-4A5F-A07D-4F728733AD42}"/>
              </c:ext>
            </c:extLst>
          </c:dPt>
          <c:cat>
            <c:multiLvlStrRef>
              <c:f>'Share of each type of Product'!$A$247:$A$351</c:f>
              <c:multiLvlStrCache>
                <c:ptCount val="53"/>
                <c:lvl>
                  <c:pt idx="0">
                    <c:v>Tripura</c:v>
                  </c:pt>
                  <c:pt idx="1">
                    <c:v>Uttar Pradesh</c:v>
                  </c:pt>
                  <c:pt idx="2">
                    <c:v>Gujrat</c:v>
                  </c:pt>
                  <c:pt idx="3">
                    <c:v>Mizoram</c:v>
                  </c:pt>
                  <c:pt idx="4">
                    <c:v>Rajasthan</c:v>
                  </c:pt>
                  <c:pt idx="5">
                    <c:v>Uttar Pradesh</c:v>
                  </c:pt>
                  <c:pt idx="6">
                    <c:v>Andhra Pradesh</c:v>
                  </c:pt>
                  <c:pt idx="7">
                    <c:v>Punjab</c:v>
                  </c:pt>
                  <c:pt idx="8">
                    <c:v>Maharashtra</c:v>
                  </c:pt>
                  <c:pt idx="9">
                    <c:v>Uttar Pradesh</c:v>
                  </c:pt>
                  <c:pt idx="10">
                    <c:v>Haryana</c:v>
                  </c:pt>
                  <c:pt idx="11">
                    <c:v>Karnataka</c:v>
                  </c:pt>
                  <c:pt idx="12">
                    <c:v>Uttar Pradesh</c:v>
                  </c:pt>
                  <c:pt idx="13">
                    <c:v>Haryana</c:v>
                  </c:pt>
                  <c:pt idx="14">
                    <c:v>Punjab</c:v>
                  </c:pt>
                  <c:pt idx="15">
                    <c:v>Tamil Nadu</c:v>
                  </c:pt>
                  <c:pt idx="16">
                    <c:v>Tamil Nadu</c:v>
                  </c:pt>
                  <c:pt idx="17">
                    <c:v>Uttarakhand</c:v>
                  </c:pt>
                  <c:pt idx="18">
                    <c:v>Delhi</c:v>
                  </c:pt>
                  <c:pt idx="19">
                    <c:v>Himachal Pradesh</c:v>
                  </c:pt>
                  <c:pt idx="20">
                    <c:v>Haryana</c:v>
                  </c:pt>
                  <c:pt idx="21">
                    <c:v>Uttar Pradesh</c:v>
                  </c:pt>
                  <c:pt idx="22">
                    <c:v>Uttar Pradesh</c:v>
                  </c:pt>
                  <c:pt idx="23">
                    <c:v>Haryana</c:v>
                  </c:pt>
                  <c:pt idx="24">
                    <c:v>Karnataka</c:v>
                  </c:pt>
                  <c:pt idx="25">
                    <c:v>Rajasthan</c:v>
                  </c:pt>
                  <c:pt idx="26">
                    <c:v>Jammu &amp; Kashmir</c:v>
                  </c:pt>
                  <c:pt idx="27">
                    <c:v>Haryana</c:v>
                  </c:pt>
                  <c:pt idx="28">
                    <c:v>Uttar Pradesh</c:v>
                  </c:pt>
                  <c:pt idx="29">
                    <c:v>Uttar Pradesh</c:v>
                  </c:pt>
                  <c:pt idx="30">
                    <c:v>Haryana</c:v>
                  </c:pt>
                  <c:pt idx="31">
                    <c:v>Kerala</c:v>
                  </c:pt>
                  <c:pt idx="32">
                    <c:v>West Bengal</c:v>
                  </c:pt>
                  <c:pt idx="33">
                    <c:v>Maharashtra</c:v>
                  </c:pt>
                  <c:pt idx="34">
                    <c:v>Uttar Pradesh</c:v>
                  </c:pt>
                  <c:pt idx="35">
                    <c:v>Punjab</c:v>
                  </c:pt>
                  <c:pt idx="36">
                    <c:v>Uttar Pradesh</c:v>
                  </c:pt>
                  <c:pt idx="37">
                    <c:v>Maharashtra</c:v>
                  </c:pt>
                  <c:pt idx="38">
                    <c:v>Haryana</c:v>
                  </c:pt>
                  <c:pt idx="39">
                    <c:v>Maharashtra</c:v>
                  </c:pt>
                  <c:pt idx="40">
                    <c:v>Uttar Pradesh</c:v>
                  </c:pt>
                  <c:pt idx="41">
                    <c:v>Haryana</c:v>
                  </c:pt>
                  <c:pt idx="42">
                    <c:v>Bihar</c:v>
                  </c:pt>
                  <c:pt idx="43">
                    <c:v>Maharashtra</c:v>
                  </c:pt>
                  <c:pt idx="44">
                    <c:v>Haryana</c:v>
                  </c:pt>
                  <c:pt idx="45">
                    <c:v>Haryana</c:v>
                  </c:pt>
                  <c:pt idx="46">
                    <c:v>Jammu &amp; Kashmir</c:v>
                  </c:pt>
                  <c:pt idx="47">
                    <c:v>Gujrat</c:v>
                  </c:pt>
                  <c:pt idx="48">
                    <c:v>Gujrat</c:v>
                  </c:pt>
                  <c:pt idx="49">
                    <c:v>Uttar Pradesh</c:v>
                  </c:pt>
                  <c:pt idx="50">
                    <c:v>Andhra Pradesh</c:v>
                  </c:pt>
                  <c:pt idx="51">
                    <c:v>Andhra Pradesh</c:v>
                  </c:pt>
                  <c:pt idx="52">
                    <c:v>Maharashtra</c:v>
                  </c:pt>
                </c:lvl>
                <c:lvl>
                  <c:pt idx="0">
                    <c:v>Agartala</c:v>
                  </c:pt>
                  <c:pt idx="1">
                    <c:v>Agra</c:v>
                  </c:pt>
                  <c:pt idx="2">
                    <c:v>Ahmedabad</c:v>
                  </c:pt>
                  <c:pt idx="3">
                    <c:v>Aizawl</c:v>
                  </c:pt>
                  <c:pt idx="4">
                    <c:v>Ajmer</c:v>
                  </c:pt>
                  <c:pt idx="5">
                    <c:v>Aligarh </c:v>
                  </c:pt>
                  <c:pt idx="6">
                    <c:v>Amravati</c:v>
                  </c:pt>
                  <c:pt idx="7">
                    <c:v>Amritsar</c:v>
                  </c:pt>
                  <c:pt idx="8">
                    <c:v>Aurangabad</c:v>
                  </c:pt>
                  <c:pt idx="9">
                    <c:v>Ayodhya</c:v>
                  </c:pt>
                  <c:pt idx="10">
                    <c:v>Baghpat</c:v>
                  </c:pt>
                  <c:pt idx="11">
                    <c:v>Bangalore</c:v>
                  </c:pt>
                  <c:pt idx="12">
                    <c:v>Bareilly</c:v>
                  </c:pt>
                  <c:pt idx="13">
                    <c:v>Chandigarh</c:v>
                  </c:pt>
                  <c:pt idx="15">
                    <c:v>Chennai</c:v>
                  </c:pt>
                  <c:pt idx="16">
                    <c:v>Coimbatore</c:v>
                  </c:pt>
                  <c:pt idx="17">
                    <c:v>Dehradun</c:v>
                  </c:pt>
                  <c:pt idx="18">
                    <c:v>Delhi</c:v>
                  </c:pt>
                  <c:pt idx="19">
                    <c:v>Dharamshala</c:v>
                  </c:pt>
                  <c:pt idx="20">
                    <c:v>Faridabad</c:v>
                  </c:pt>
                  <c:pt idx="21">
                    <c:v>Ghaziabad</c:v>
                  </c:pt>
                  <c:pt idx="22">
                    <c:v>Gorakhpur</c:v>
                  </c:pt>
                  <c:pt idx="23">
                    <c:v>Gurugram</c:v>
                  </c:pt>
                  <c:pt idx="24">
                    <c:v>Hampi</c:v>
                  </c:pt>
                  <c:pt idx="25">
                    <c:v>Jaipur</c:v>
                  </c:pt>
                  <c:pt idx="26">
                    <c:v>Jammu</c:v>
                  </c:pt>
                  <c:pt idx="27">
                    <c:v>Jind</c:v>
                  </c:pt>
                  <c:pt idx="28">
                    <c:v>Kannauj</c:v>
                  </c:pt>
                  <c:pt idx="29">
                    <c:v>Kanpur</c:v>
                  </c:pt>
                  <c:pt idx="30">
                    <c:v>Karnal</c:v>
                  </c:pt>
                  <c:pt idx="31">
                    <c:v>Kochi</c:v>
                  </c:pt>
                  <c:pt idx="32">
                    <c:v>Kolkata</c:v>
                  </c:pt>
                  <c:pt idx="33">
                    <c:v>Lavasa</c:v>
                  </c:pt>
                  <c:pt idx="34">
                    <c:v>Lucknow</c:v>
                  </c:pt>
                  <c:pt idx="35">
                    <c:v>Ludhiana</c:v>
                  </c:pt>
                  <c:pt idx="36">
                    <c:v>Meerut</c:v>
                  </c:pt>
                  <c:pt idx="37">
                    <c:v>Mumbai</c:v>
                  </c:pt>
                  <c:pt idx="38">
                    <c:v>Nangloi</c:v>
                  </c:pt>
                  <c:pt idx="39">
                    <c:v>Nashik</c:v>
                  </c:pt>
                  <c:pt idx="40">
                    <c:v>Noida</c:v>
                  </c:pt>
                  <c:pt idx="41">
                    <c:v>Panipat</c:v>
                  </c:pt>
                  <c:pt idx="42">
                    <c:v>Patna</c:v>
                  </c:pt>
                  <c:pt idx="43">
                    <c:v>Pune</c:v>
                  </c:pt>
                  <c:pt idx="44">
                    <c:v>Rohtak</c:v>
                  </c:pt>
                  <c:pt idx="45">
                    <c:v>Sonipat</c:v>
                  </c:pt>
                  <c:pt idx="46">
                    <c:v>Srinagar</c:v>
                  </c:pt>
                  <c:pt idx="47">
                    <c:v>Surat</c:v>
                  </c:pt>
                  <c:pt idx="48">
                    <c:v>Vadodra</c:v>
                  </c:pt>
                  <c:pt idx="49">
                    <c:v>Varanasi</c:v>
                  </c:pt>
                  <c:pt idx="50">
                    <c:v>Vishakhapatnam</c:v>
                  </c:pt>
                  <c:pt idx="51">
                    <c:v>Vizag</c:v>
                  </c:pt>
                </c:lvl>
              </c:multiLvlStrCache>
            </c:multiLvlStrRef>
          </c:cat>
          <c:val>
            <c:numRef>
              <c:f>'Share of each type of Product'!$B$247:$B$351</c:f>
              <c:numCache>
                <c:formatCode>General</c:formatCode>
                <c:ptCount val="53"/>
                <c:pt idx="0">
                  <c:v>1</c:v>
                </c:pt>
                <c:pt idx="1">
                  <c:v>1</c:v>
                </c:pt>
                <c:pt idx="2">
                  <c:v>2</c:v>
                </c:pt>
                <c:pt idx="3">
                  <c:v>1</c:v>
                </c:pt>
                <c:pt idx="4">
                  <c:v>1</c:v>
                </c:pt>
                <c:pt idx="5">
                  <c:v>2</c:v>
                </c:pt>
                <c:pt idx="6">
                  <c:v>3</c:v>
                </c:pt>
                <c:pt idx="7">
                  <c:v>2</c:v>
                </c:pt>
                <c:pt idx="8">
                  <c:v>2</c:v>
                </c:pt>
                <c:pt idx="9">
                  <c:v>3</c:v>
                </c:pt>
                <c:pt idx="10">
                  <c:v>3</c:v>
                </c:pt>
                <c:pt idx="11">
                  <c:v>4</c:v>
                </c:pt>
                <c:pt idx="12">
                  <c:v>2</c:v>
                </c:pt>
                <c:pt idx="13">
                  <c:v>5</c:v>
                </c:pt>
                <c:pt idx="14">
                  <c:v>1</c:v>
                </c:pt>
                <c:pt idx="15">
                  <c:v>2</c:v>
                </c:pt>
                <c:pt idx="16">
                  <c:v>3</c:v>
                </c:pt>
                <c:pt idx="17">
                  <c:v>1</c:v>
                </c:pt>
                <c:pt idx="18">
                  <c:v>31</c:v>
                </c:pt>
                <c:pt idx="19">
                  <c:v>1</c:v>
                </c:pt>
                <c:pt idx="20">
                  <c:v>9</c:v>
                </c:pt>
                <c:pt idx="21">
                  <c:v>6</c:v>
                </c:pt>
                <c:pt idx="22">
                  <c:v>3</c:v>
                </c:pt>
                <c:pt idx="23">
                  <c:v>40</c:v>
                </c:pt>
                <c:pt idx="24">
                  <c:v>1</c:v>
                </c:pt>
                <c:pt idx="25">
                  <c:v>2</c:v>
                </c:pt>
                <c:pt idx="26">
                  <c:v>1</c:v>
                </c:pt>
                <c:pt idx="27">
                  <c:v>2</c:v>
                </c:pt>
                <c:pt idx="28">
                  <c:v>3</c:v>
                </c:pt>
                <c:pt idx="29">
                  <c:v>5</c:v>
                </c:pt>
                <c:pt idx="30">
                  <c:v>2</c:v>
                </c:pt>
                <c:pt idx="31">
                  <c:v>2</c:v>
                </c:pt>
                <c:pt idx="32">
                  <c:v>7</c:v>
                </c:pt>
                <c:pt idx="33">
                  <c:v>1</c:v>
                </c:pt>
                <c:pt idx="34">
                  <c:v>1</c:v>
                </c:pt>
                <c:pt idx="35">
                  <c:v>1</c:v>
                </c:pt>
                <c:pt idx="36">
                  <c:v>2</c:v>
                </c:pt>
                <c:pt idx="37">
                  <c:v>4</c:v>
                </c:pt>
                <c:pt idx="38">
                  <c:v>1</c:v>
                </c:pt>
                <c:pt idx="39">
                  <c:v>1</c:v>
                </c:pt>
                <c:pt idx="40">
                  <c:v>8</c:v>
                </c:pt>
                <c:pt idx="41">
                  <c:v>2</c:v>
                </c:pt>
                <c:pt idx="42">
                  <c:v>1</c:v>
                </c:pt>
                <c:pt idx="43">
                  <c:v>3</c:v>
                </c:pt>
                <c:pt idx="44">
                  <c:v>5</c:v>
                </c:pt>
                <c:pt idx="45">
                  <c:v>2</c:v>
                </c:pt>
                <c:pt idx="46">
                  <c:v>2</c:v>
                </c:pt>
                <c:pt idx="47">
                  <c:v>4</c:v>
                </c:pt>
                <c:pt idx="48">
                  <c:v>1</c:v>
                </c:pt>
                <c:pt idx="49">
                  <c:v>2</c:v>
                </c:pt>
                <c:pt idx="50">
                  <c:v>1</c:v>
                </c:pt>
                <c:pt idx="51">
                  <c:v>3</c:v>
                </c:pt>
                <c:pt idx="52">
                  <c:v>1</c:v>
                </c:pt>
              </c:numCache>
            </c:numRef>
          </c:val>
          <c:extLst>
            <c:ext xmlns:c16="http://schemas.microsoft.com/office/drawing/2014/chart" uri="{C3380CC4-5D6E-409C-BE32-E72D297353CC}">
              <c16:uniqueId val="{00000000-6EDE-4B1D-8F9A-3BA5D446377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[VyaaparX_Monthly_Sales_analysis.xlsx]Share of each type of Product!PivotTable2</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'Share of each type of Product'!$B$33</c:f>
              <c:strCache>
                <c:ptCount val="1"/>
                <c:pt idx="0">
                  <c:v>Sum of Net Sales</c:v>
                </c:pt>
              </c:strCache>
            </c:strRef>
          </c:tx>
          <c:spPr>
            <a:solidFill>
              <a:schemeClr val="accent1"/>
            </a:solidFill>
            <a:ln>
              <a:noFill/>
            </a:ln>
            <a:effectLst/>
          </c:spPr>
          <c:cat>
            <c:strRef>
              <c:f>'Share of each type of Product'!$A$34:$A$56</c:f>
              <c:strCache>
                <c:ptCount val="22"/>
                <c:pt idx="0">
                  <c:v>Apparel</c:v>
                </c:pt>
                <c:pt idx="1">
                  <c:v>Art and collections</c:v>
                </c:pt>
                <c:pt idx="2">
                  <c:v>Automotive</c:v>
                </c:pt>
                <c:pt idx="3">
                  <c:v>Beverages</c:v>
                </c:pt>
                <c:pt idx="4">
                  <c:v>Books &amp; Stationeries</c:v>
                </c:pt>
                <c:pt idx="5">
                  <c:v>Confectionaries</c:v>
                </c:pt>
                <c:pt idx="6">
                  <c:v>Cosmetics</c:v>
                </c:pt>
                <c:pt idx="7">
                  <c:v>Drinkware</c:v>
                </c:pt>
                <c:pt idx="8">
                  <c:v>Dry Fruits</c:v>
                </c:pt>
                <c:pt idx="9">
                  <c:v>Electronics</c:v>
                </c:pt>
                <c:pt idx="10">
                  <c:v>Fashion &amp; Acessories</c:v>
                </c:pt>
                <c:pt idx="11">
                  <c:v>Food and Beverages</c:v>
                </c:pt>
                <c:pt idx="12">
                  <c:v>Furniture</c:v>
                </c:pt>
                <c:pt idx="13">
                  <c:v>Hardware</c:v>
                </c:pt>
                <c:pt idx="14">
                  <c:v>Health &amp; Beauty</c:v>
                </c:pt>
                <c:pt idx="15">
                  <c:v>Home &amp; décor</c:v>
                </c:pt>
                <c:pt idx="16">
                  <c:v>Home and kitchen</c:v>
                </c:pt>
                <c:pt idx="17">
                  <c:v>Home and Lifestyle </c:v>
                </c:pt>
                <c:pt idx="18">
                  <c:v>Jewelry</c:v>
                </c:pt>
                <c:pt idx="19">
                  <c:v>Pet Supplies</c:v>
                </c:pt>
                <c:pt idx="20">
                  <c:v>Sports &amp; Fitness</c:v>
                </c:pt>
                <c:pt idx="21">
                  <c:v>Toys</c:v>
                </c:pt>
              </c:strCache>
            </c:strRef>
          </c:cat>
          <c:val>
            <c:numRef>
              <c:f>'Share of each type of Product'!$B$34:$B$56</c:f>
              <c:numCache>
                <c:formatCode>_ [$₹-4009]\ * #,##0.00_ ;_ [$₹-4009]\ * \-#,##0.00_ ;_ [$₹-4009]\ * "-"??_ ;_ @_ </c:formatCode>
                <c:ptCount val="22"/>
                <c:pt idx="0">
                  <c:v>27720</c:v>
                </c:pt>
                <c:pt idx="1">
                  <c:v>4756657</c:v>
                </c:pt>
                <c:pt idx="2">
                  <c:v>465400</c:v>
                </c:pt>
                <c:pt idx="3">
                  <c:v>190147.5</c:v>
                </c:pt>
                <c:pt idx="4">
                  <c:v>80343.100000000006</c:v>
                </c:pt>
                <c:pt idx="5">
                  <c:v>4500</c:v>
                </c:pt>
                <c:pt idx="6">
                  <c:v>36750</c:v>
                </c:pt>
                <c:pt idx="7">
                  <c:v>48608</c:v>
                </c:pt>
                <c:pt idx="8">
                  <c:v>17310</c:v>
                </c:pt>
                <c:pt idx="9">
                  <c:v>9820809.1999999993</c:v>
                </c:pt>
                <c:pt idx="10">
                  <c:v>601625</c:v>
                </c:pt>
                <c:pt idx="11">
                  <c:v>99880</c:v>
                </c:pt>
                <c:pt idx="12">
                  <c:v>189550</c:v>
                </c:pt>
                <c:pt idx="13">
                  <c:v>162284</c:v>
                </c:pt>
                <c:pt idx="14">
                  <c:v>6615</c:v>
                </c:pt>
                <c:pt idx="15">
                  <c:v>3553380</c:v>
                </c:pt>
                <c:pt idx="16">
                  <c:v>341310</c:v>
                </c:pt>
                <c:pt idx="17">
                  <c:v>4200</c:v>
                </c:pt>
                <c:pt idx="18">
                  <c:v>200000</c:v>
                </c:pt>
                <c:pt idx="19">
                  <c:v>48000</c:v>
                </c:pt>
                <c:pt idx="20">
                  <c:v>612300</c:v>
                </c:pt>
                <c:pt idx="21">
                  <c:v>65880</c:v>
                </c:pt>
              </c:numCache>
            </c:numRef>
          </c:val>
          <c:extLst>
            <c:ext xmlns:c16="http://schemas.microsoft.com/office/drawing/2014/chart" uri="{C3380CC4-5D6E-409C-BE32-E72D297353CC}">
              <c16:uniqueId val="{00000000-B974-482A-978B-0782DBE200CB}"/>
            </c:ext>
          </c:extLst>
        </c:ser>
        <c:ser>
          <c:idx val="1"/>
          <c:order val="1"/>
          <c:tx>
            <c:strRef>
              <c:f>'Share of each type of Product'!$C$33</c:f>
              <c:strCache>
                <c:ptCount val="1"/>
                <c:pt idx="0">
                  <c:v>Sum of Surplus</c:v>
                </c:pt>
              </c:strCache>
            </c:strRef>
          </c:tx>
          <c:spPr>
            <a:solidFill>
              <a:schemeClr val="accent2"/>
            </a:solidFill>
            <a:ln>
              <a:noFill/>
            </a:ln>
            <a:effectLst/>
          </c:spPr>
          <c:cat>
            <c:strRef>
              <c:f>'Share of each type of Product'!$A$34:$A$56</c:f>
              <c:strCache>
                <c:ptCount val="22"/>
                <c:pt idx="0">
                  <c:v>Apparel</c:v>
                </c:pt>
                <c:pt idx="1">
                  <c:v>Art and collections</c:v>
                </c:pt>
                <c:pt idx="2">
                  <c:v>Automotive</c:v>
                </c:pt>
                <c:pt idx="3">
                  <c:v>Beverages</c:v>
                </c:pt>
                <c:pt idx="4">
                  <c:v>Books &amp; Stationeries</c:v>
                </c:pt>
                <c:pt idx="5">
                  <c:v>Confectionaries</c:v>
                </c:pt>
                <c:pt idx="6">
                  <c:v>Cosmetics</c:v>
                </c:pt>
                <c:pt idx="7">
                  <c:v>Drinkware</c:v>
                </c:pt>
                <c:pt idx="8">
                  <c:v>Dry Fruits</c:v>
                </c:pt>
                <c:pt idx="9">
                  <c:v>Electronics</c:v>
                </c:pt>
                <c:pt idx="10">
                  <c:v>Fashion &amp; Acessories</c:v>
                </c:pt>
                <c:pt idx="11">
                  <c:v>Food and Beverages</c:v>
                </c:pt>
                <c:pt idx="12">
                  <c:v>Furniture</c:v>
                </c:pt>
                <c:pt idx="13">
                  <c:v>Hardware</c:v>
                </c:pt>
                <c:pt idx="14">
                  <c:v>Health &amp; Beauty</c:v>
                </c:pt>
                <c:pt idx="15">
                  <c:v>Home &amp; décor</c:v>
                </c:pt>
                <c:pt idx="16">
                  <c:v>Home and kitchen</c:v>
                </c:pt>
                <c:pt idx="17">
                  <c:v>Home and Lifestyle </c:v>
                </c:pt>
                <c:pt idx="18">
                  <c:v>Jewelry</c:v>
                </c:pt>
                <c:pt idx="19">
                  <c:v>Pet Supplies</c:v>
                </c:pt>
                <c:pt idx="20">
                  <c:v>Sports &amp; Fitness</c:v>
                </c:pt>
                <c:pt idx="21">
                  <c:v>Toys</c:v>
                </c:pt>
              </c:strCache>
            </c:strRef>
          </c:cat>
          <c:val>
            <c:numRef>
              <c:f>'Share of each type of Product'!$C$34:$C$56</c:f>
              <c:numCache>
                <c:formatCode>_ [$₹-4009]\ * #,##0.00_ ;_ [$₹-4009]\ * \-#,##0.00_ ;_ [$₹-4009]\ * "-"??_ ;_ @_ </c:formatCode>
                <c:ptCount val="22"/>
                <c:pt idx="0">
                  <c:v>4620</c:v>
                </c:pt>
                <c:pt idx="1">
                  <c:v>879467</c:v>
                </c:pt>
                <c:pt idx="2">
                  <c:v>113400</c:v>
                </c:pt>
                <c:pt idx="3">
                  <c:v>35597.5</c:v>
                </c:pt>
                <c:pt idx="4">
                  <c:v>21909.1</c:v>
                </c:pt>
                <c:pt idx="5">
                  <c:v>900</c:v>
                </c:pt>
                <c:pt idx="6">
                  <c:v>4950</c:v>
                </c:pt>
                <c:pt idx="7">
                  <c:v>9408</c:v>
                </c:pt>
                <c:pt idx="8">
                  <c:v>3160</c:v>
                </c:pt>
                <c:pt idx="9">
                  <c:v>1926843.2</c:v>
                </c:pt>
                <c:pt idx="10">
                  <c:v>142925</c:v>
                </c:pt>
                <c:pt idx="11">
                  <c:v>23330</c:v>
                </c:pt>
                <c:pt idx="12">
                  <c:v>38550</c:v>
                </c:pt>
                <c:pt idx="13">
                  <c:v>40384</c:v>
                </c:pt>
                <c:pt idx="14">
                  <c:v>1715</c:v>
                </c:pt>
                <c:pt idx="15">
                  <c:v>659630</c:v>
                </c:pt>
                <c:pt idx="16">
                  <c:v>60710</c:v>
                </c:pt>
                <c:pt idx="17">
                  <c:v>1200</c:v>
                </c:pt>
                <c:pt idx="18">
                  <c:v>40000</c:v>
                </c:pt>
                <c:pt idx="19">
                  <c:v>10500</c:v>
                </c:pt>
                <c:pt idx="20">
                  <c:v>160300</c:v>
                </c:pt>
                <c:pt idx="21">
                  <c:v>11430</c:v>
                </c:pt>
              </c:numCache>
            </c:numRef>
          </c:val>
          <c:extLst>
            <c:ext xmlns:c16="http://schemas.microsoft.com/office/drawing/2014/chart" uri="{C3380CC4-5D6E-409C-BE32-E72D297353CC}">
              <c16:uniqueId val="{00000001-B974-482A-978B-0782DBE200CB}"/>
            </c:ext>
          </c:extLst>
        </c:ser>
        <c:ser>
          <c:idx val="2"/>
          <c:order val="2"/>
          <c:tx>
            <c:strRef>
              <c:f>'Share of each type of Product'!$D$33</c:f>
              <c:strCache>
                <c:ptCount val="1"/>
                <c:pt idx="0">
                  <c:v>Count of Quantity</c:v>
                </c:pt>
              </c:strCache>
            </c:strRef>
          </c:tx>
          <c:spPr>
            <a:solidFill>
              <a:schemeClr val="accent3"/>
            </a:solidFill>
            <a:ln>
              <a:noFill/>
            </a:ln>
            <a:effectLst/>
          </c:spPr>
          <c:cat>
            <c:strRef>
              <c:f>'Share of each type of Product'!$A$34:$A$56</c:f>
              <c:strCache>
                <c:ptCount val="22"/>
                <c:pt idx="0">
                  <c:v>Apparel</c:v>
                </c:pt>
                <c:pt idx="1">
                  <c:v>Art and collections</c:v>
                </c:pt>
                <c:pt idx="2">
                  <c:v>Automotive</c:v>
                </c:pt>
                <c:pt idx="3">
                  <c:v>Beverages</c:v>
                </c:pt>
                <c:pt idx="4">
                  <c:v>Books &amp; Stationeries</c:v>
                </c:pt>
                <c:pt idx="5">
                  <c:v>Confectionaries</c:v>
                </c:pt>
                <c:pt idx="6">
                  <c:v>Cosmetics</c:v>
                </c:pt>
                <c:pt idx="7">
                  <c:v>Drinkware</c:v>
                </c:pt>
                <c:pt idx="8">
                  <c:v>Dry Fruits</c:v>
                </c:pt>
                <c:pt idx="9">
                  <c:v>Electronics</c:v>
                </c:pt>
                <c:pt idx="10">
                  <c:v>Fashion &amp; Acessories</c:v>
                </c:pt>
                <c:pt idx="11">
                  <c:v>Food and Beverages</c:v>
                </c:pt>
                <c:pt idx="12">
                  <c:v>Furniture</c:v>
                </c:pt>
                <c:pt idx="13">
                  <c:v>Hardware</c:v>
                </c:pt>
                <c:pt idx="14">
                  <c:v>Health &amp; Beauty</c:v>
                </c:pt>
                <c:pt idx="15">
                  <c:v>Home &amp; décor</c:v>
                </c:pt>
                <c:pt idx="16">
                  <c:v>Home and kitchen</c:v>
                </c:pt>
                <c:pt idx="17">
                  <c:v>Home and Lifestyle </c:v>
                </c:pt>
                <c:pt idx="18">
                  <c:v>Jewelry</c:v>
                </c:pt>
                <c:pt idx="19">
                  <c:v>Pet Supplies</c:v>
                </c:pt>
                <c:pt idx="20">
                  <c:v>Sports &amp; Fitness</c:v>
                </c:pt>
                <c:pt idx="21">
                  <c:v>Toys</c:v>
                </c:pt>
              </c:strCache>
            </c:strRef>
          </c:cat>
          <c:val>
            <c:numRef>
              <c:f>'Share of each type of Product'!$D$34:$D$56</c:f>
              <c:numCache>
                <c:formatCode>General</c:formatCode>
                <c:ptCount val="22"/>
                <c:pt idx="0">
                  <c:v>1</c:v>
                </c:pt>
                <c:pt idx="1">
                  <c:v>33</c:v>
                </c:pt>
                <c:pt idx="2">
                  <c:v>3</c:v>
                </c:pt>
                <c:pt idx="3">
                  <c:v>8</c:v>
                </c:pt>
                <c:pt idx="4">
                  <c:v>13</c:v>
                </c:pt>
                <c:pt idx="5">
                  <c:v>1</c:v>
                </c:pt>
                <c:pt idx="6">
                  <c:v>2</c:v>
                </c:pt>
                <c:pt idx="7">
                  <c:v>1</c:v>
                </c:pt>
                <c:pt idx="8">
                  <c:v>2</c:v>
                </c:pt>
                <c:pt idx="9">
                  <c:v>80</c:v>
                </c:pt>
                <c:pt idx="10">
                  <c:v>5</c:v>
                </c:pt>
                <c:pt idx="11">
                  <c:v>3</c:v>
                </c:pt>
                <c:pt idx="12">
                  <c:v>3</c:v>
                </c:pt>
                <c:pt idx="13">
                  <c:v>6</c:v>
                </c:pt>
                <c:pt idx="14">
                  <c:v>1</c:v>
                </c:pt>
                <c:pt idx="15">
                  <c:v>18</c:v>
                </c:pt>
                <c:pt idx="16">
                  <c:v>9</c:v>
                </c:pt>
                <c:pt idx="17">
                  <c:v>1</c:v>
                </c:pt>
                <c:pt idx="18">
                  <c:v>1</c:v>
                </c:pt>
                <c:pt idx="19">
                  <c:v>1</c:v>
                </c:pt>
                <c:pt idx="20">
                  <c:v>5</c:v>
                </c:pt>
                <c:pt idx="21">
                  <c:v>3</c:v>
                </c:pt>
              </c:numCache>
            </c:numRef>
          </c:val>
          <c:extLst>
            <c:ext xmlns:c16="http://schemas.microsoft.com/office/drawing/2014/chart" uri="{C3380CC4-5D6E-409C-BE32-E72D297353CC}">
              <c16:uniqueId val="{00000002-B974-482A-978B-0782DBE200CB}"/>
            </c:ext>
          </c:extLst>
        </c:ser>
        <c:dLbls>
          <c:showLegendKey val="0"/>
          <c:showVal val="0"/>
          <c:showCatName val="0"/>
          <c:showSerName val="0"/>
          <c:showPercent val="0"/>
          <c:showBubbleSize val="0"/>
        </c:dLbls>
        <c:axId val="1025324191"/>
        <c:axId val="1261341375"/>
      </c:areaChart>
      <c:catAx>
        <c:axId val="1025324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1341375"/>
        <c:crosses val="autoZero"/>
        <c:auto val="1"/>
        <c:lblAlgn val="ctr"/>
        <c:lblOffset val="100"/>
        <c:noMultiLvlLbl val="0"/>
      </c:catAx>
      <c:valAx>
        <c:axId val="1261341375"/>
        <c:scaling>
          <c:orientation val="minMax"/>
        </c:scaling>
        <c:delete val="0"/>
        <c:axPos val="l"/>
        <c:majorGridlines>
          <c:spPr>
            <a:ln w="9525" cap="flat" cmpd="sng" algn="ctr">
              <a:solidFill>
                <a:schemeClr val="tx1">
                  <a:lumMod val="15000"/>
                  <a:lumOff val="85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5324191"/>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[VyaaparX_Monthly_Sales_analysis.xlsx]operational analysis of firm!PivotTable3</c:name>
    <c:fmtId val="15"/>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'operational analysis of firm'!$B$3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712E-40F9-B7FC-C2B31A3679B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712E-40F9-B7FC-C2B31A3679B8}"/>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'operational analysis of firm'!$A$4:$A$6</c:f>
              <c:strCache>
                <c:ptCount val="2"/>
                <c:pt idx="0">
                  <c:v>Delivered</c:v>
                </c:pt>
                <c:pt idx="1">
                  <c:v>Pending</c:v>
                </c:pt>
              </c:strCache>
            </c:strRef>
          </c:cat>
          <c:val>
            <c:numRef>
              <c:f>'operational analysis of firm'!$B$4:$B$6</c:f>
              <c:numCache>
                <c:formatCode>General</c:formatCode>
                <c:ptCount val="2"/>
                <c:pt idx="0">
                  <c:v>61</c:v>
                </c:pt>
                <c:pt idx="1">
                  <c:v>139</c:v>
                </c:pt>
              </c:numCache>
            </c:numRef>
          </c:val>
          <c:extLst>
            <c:ext xmlns:c16="http://schemas.microsoft.com/office/drawing/2014/chart" uri="{C3380CC4-5D6E-409C-BE32-E72D297353CC}">
              <c16:uniqueId val="{00000004-712E-40F9-B7FC-C2B31A3679B8}"/>
            </c:ext>
          </c:extLst>
        </c:ser>
        <c:dLbls>
          <c:dLblPos val="bestFit"/>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[VyaaparX_Monthly_Sales_analysis.xlsx]Orders analysis!PivotTable3</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1"/>
          </a:solidFill>
          <a:ln>
            <a:noFill/>
          </a:ln>
          <a:effectLst/>
        </c:spPr>
      </c:pivotFmt>
      <c:pivotFmt>
        <c:idx val="36"/>
        <c:spPr>
          <a:solidFill>
            <a:schemeClr val="accent1"/>
          </a:solidFill>
          <a:ln>
            <a:noFill/>
          </a:ln>
          <a:effectLst/>
        </c:spPr>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chemeClr val="accent1"/>
          </a:solidFill>
          <a:ln>
            <a:noFill/>
          </a:ln>
          <a:effectLst/>
        </c:spPr>
      </c:pivotFmt>
      <c:pivotFmt>
        <c:idx val="39"/>
        <c:spPr>
          <a:solidFill>
            <a:schemeClr val="accent1"/>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1"/>
          </a:solidFill>
          <a:ln>
            <a:noFill/>
          </a:ln>
          <a:effectLst/>
        </c:spPr>
      </c:pivotFmt>
      <c:pivotFmt>
        <c:idx val="44"/>
        <c:spPr>
          <a:solidFill>
            <a:schemeClr val="accent1"/>
          </a:solidFill>
          <a:ln>
            <a:noFill/>
          </a:ln>
          <a:effectLst/>
        </c:spPr>
      </c:pivotFmt>
      <c:pivotFmt>
        <c:idx val="45"/>
        <c:spPr>
          <a:solidFill>
            <a:schemeClr val="accent1"/>
          </a:solidFill>
          <a:ln>
            <a:noFill/>
          </a:ln>
          <a:effectLst/>
        </c:spPr>
      </c:pivotFmt>
      <c:pivotFmt>
        <c:idx val="46"/>
        <c:spPr>
          <a:solidFill>
            <a:schemeClr val="accent1"/>
          </a:solidFill>
          <a:ln>
            <a:noFill/>
          </a:ln>
          <a:effectLst/>
        </c:spPr>
      </c:pivotFmt>
      <c:pivotFmt>
        <c:idx val="47"/>
        <c:spPr>
          <a:solidFill>
            <a:schemeClr val="accent1"/>
          </a:solidFill>
          <a:ln>
            <a:noFill/>
          </a:ln>
          <a:effectLst/>
        </c:spPr>
      </c:pivotFmt>
      <c:pivotFmt>
        <c:idx val="48"/>
        <c:spPr>
          <a:solidFill>
            <a:schemeClr val="accent1"/>
          </a:solidFill>
          <a:ln>
            <a:noFill/>
          </a:ln>
          <a:effectLst/>
        </c:spPr>
      </c:pivotFmt>
      <c:pivotFmt>
        <c:idx val="49"/>
        <c:spPr>
          <a:solidFill>
            <a:schemeClr val="accent1"/>
          </a:solidFill>
          <a:ln>
            <a:noFill/>
          </a:ln>
          <a:effectLst/>
        </c:spPr>
      </c:pivotFmt>
      <c:pivotFmt>
        <c:idx val="50"/>
        <c:spPr>
          <a:solidFill>
            <a:schemeClr val="accent1"/>
          </a:solidFill>
          <a:ln>
            <a:noFill/>
          </a:ln>
          <a:effectLst/>
        </c:spPr>
      </c:pivotFmt>
      <c:pivotFmt>
        <c:idx val="51"/>
        <c:spPr>
          <a:solidFill>
            <a:schemeClr val="accent1"/>
          </a:solidFill>
          <a:ln>
            <a:noFill/>
          </a:ln>
          <a:effectLst/>
        </c:spPr>
      </c:pivotFmt>
      <c:pivotFmt>
        <c:idx val="52"/>
        <c:spPr>
          <a:solidFill>
            <a:schemeClr val="accent1"/>
          </a:solidFill>
          <a:ln>
            <a:noFill/>
          </a:ln>
          <a:effectLst/>
        </c:spPr>
      </c:pivotFmt>
      <c:pivotFmt>
        <c:idx val="53"/>
        <c:spPr>
          <a:solidFill>
            <a:schemeClr val="accent1"/>
          </a:solidFill>
          <a:ln>
            <a:noFill/>
          </a:ln>
          <a:effectLst/>
        </c:spPr>
      </c:pivotFmt>
      <c:pivotFmt>
        <c:idx val="54"/>
        <c:spPr>
          <a:solidFill>
            <a:schemeClr val="accent1"/>
          </a:solidFill>
          <a:ln>
            <a:noFill/>
          </a:ln>
          <a:effectLst/>
        </c:spPr>
      </c:pivotFmt>
      <c:pivotFmt>
        <c:idx val="55"/>
        <c:spPr>
          <a:solidFill>
            <a:schemeClr val="accent1"/>
          </a:solidFill>
          <a:ln>
            <a:noFill/>
          </a:ln>
          <a:effectLst/>
        </c:spPr>
      </c:pivotFmt>
      <c:pivotFmt>
        <c:idx val="56"/>
        <c:spPr>
          <a:solidFill>
            <a:schemeClr val="accent1"/>
          </a:solidFill>
          <a:ln>
            <a:noFill/>
          </a:ln>
          <a:effectLst/>
        </c:spPr>
      </c:pivotFmt>
      <c:pivotFmt>
        <c:idx val="57"/>
        <c:spPr>
          <a:solidFill>
            <a:schemeClr val="accent1"/>
          </a:solidFill>
          <a:ln>
            <a:noFill/>
          </a:ln>
          <a:effectLst/>
        </c:spPr>
      </c:pivotFmt>
      <c:pivotFmt>
        <c:idx val="58"/>
        <c:spPr>
          <a:solidFill>
            <a:schemeClr val="accent1"/>
          </a:solidFill>
          <a:ln>
            <a:noFill/>
          </a:ln>
          <a:effectLst/>
        </c:spPr>
      </c:pivotFmt>
      <c:pivotFmt>
        <c:idx val="59"/>
        <c:spPr>
          <a:solidFill>
            <a:schemeClr val="accent1"/>
          </a:solidFill>
          <a:ln>
            <a:noFill/>
          </a:ln>
          <a:effectLst/>
        </c:spPr>
      </c:pivotFmt>
      <c:pivotFmt>
        <c:idx val="60"/>
        <c:spPr>
          <a:solidFill>
            <a:schemeClr val="accent1"/>
          </a:solidFill>
          <a:ln>
            <a:noFill/>
          </a:ln>
          <a:effectLst/>
        </c:spPr>
      </c:pivotFmt>
      <c:pivotFmt>
        <c:idx val="61"/>
        <c:spPr>
          <a:solidFill>
            <a:schemeClr val="accent1"/>
          </a:solidFill>
          <a:ln>
            <a:noFill/>
          </a:ln>
          <a:effectLst/>
        </c:spPr>
      </c:pivotFmt>
      <c:pivotFmt>
        <c:idx val="62"/>
        <c:spPr>
          <a:solidFill>
            <a:schemeClr val="accent1"/>
          </a:solidFill>
          <a:ln>
            <a:noFill/>
          </a:ln>
          <a:effectLst/>
        </c:spPr>
      </c:pivotFmt>
      <c:pivotFmt>
        <c:idx val="63"/>
        <c:spPr>
          <a:solidFill>
            <a:schemeClr val="accent1"/>
          </a:solidFill>
          <a:ln>
            <a:noFill/>
          </a:ln>
          <a:effectLst/>
        </c:spPr>
      </c:pivotFmt>
      <c:pivotFmt>
        <c:idx val="64"/>
        <c:spPr>
          <a:solidFill>
            <a:schemeClr val="accent1"/>
          </a:solidFill>
          <a:ln>
            <a:noFill/>
          </a:ln>
          <a:effectLst/>
        </c:spPr>
      </c:pivotFmt>
      <c:pivotFmt>
        <c:idx val="65"/>
        <c:spPr>
          <a:solidFill>
            <a:schemeClr val="accent1"/>
          </a:solidFill>
          <a:ln>
            <a:noFill/>
          </a:ln>
          <a:effectLst/>
        </c:spPr>
      </c:pivotFmt>
      <c:pivotFmt>
        <c:idx val="66"/>
        <c:spPr>
          <a:solidFill>
            <a:schemeClr val="accent1"/>
          </a:solidFill>
          <a:ln>
            <a:noFill/>
          </a:ln>
          <a:effectLst/>
        </c:spPr>
      </c:pivotFmt>
      <c:pivotFmt>
        <c:idx val="67"/>
        <c:spPr>
          <a:solidFill>
            <a:schemeClr val="accent1"/>
          </a:solidFill>
          <a:ln>
            <a:noFill/>
          </a:ln>
          <a:effectLst/>
        </c:spPr>
      </c:pivotFmt>
      <c:pivotFmt>
        <c:idx val="68"/>
        <c:spPr>
          <a:solidFill>
            <a:schemeClr val="accent1"/>
          </a:solidFill>
          <a:ln>
            <a:noFill/>
          </a:ln>
          <a:effectLst/>
        </c:spPr>
      </c:pivotFmt>
      <c:pivotFmt>
        <c:idx val="69"/>
        <c:spPr>
          <a:solidFill>
            <a:schemeClr val="accent1"/>
          </a:solidFill>
          <a:ln>
            <a:noFill/>
          </a:ln>
          <a:effectLst/>
        </c:spPr>
      </c:pivotFmt>
      <c:pivotFmt>
        <c:idx val="70"/>
        <c:spPr>
          <a:solidFill>
            <a:schemeClr val="accent1"/>
          </a:solidFill>
          <a:ln>
            <a:noFill/>
          </a:ln>
          <a:effectLst/>
        </c:spPr>
      </c:pivotFmt>
      <c:pivotFmt>
        <c:idx val="71"/>
        <c:spPr>
          <a:solidFill>
            <a:schemeClr val="accent1"/>
          </a:solidFill>
          <a:ln>
            <a:noFill/>
          </a:ln>
          <a:effectLst/>
        </c:spPr>
      </c:pivotFmt>
      <c:pivotFmt>
        <c:idx val="72"/>
        <c:spPr>
          <a:solidFill>
            <a:schemeClr val="accent1"/>
          </a:solidFill>
          <a:ln>
            <a:noFill/>
          </a:ln>
          <a:effectLst/>
        </c:spPr>
      </c:pivotFmt>
    </c:pivotFmts>
    <c:plotArea>
      <c:layout>
        <c:manualLayout>
          <c:layoutTarget val="inner"/>
          <c:xMode val="edge"/>
          <c:yMode val="edge"/>
          <c:x val="0.104336035185728"/>
          <c:y val="0.21739115781733506"/>
          <c:w val="0.44742663173667957"/>
          <c:h val="0.65895309292564108"/>
        </c:manualLayout>
      </c:layout>
      <c:doughnutChart>
        <c:varyColors val="1"/>
        <c:ser>
          <c:idx val="0"/>
          <c:order val="0"/>
          <c:tx>
            <c:strRef>
              <c:f>'Orders analysis'!$B$3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F986-44E2-8A08-A1ABABE5B3FC}"/>
              </c:ext>
            </c:extLst>
          </c:dPt>
          <c:dPt>
            <c:idx val="1"/>
            <c:bubble3D val="0"/>
            <c:spPr>
              <a:solidFill>
                <a:schemeClr val="accent2"/>
              </a:solidFill>
              <a:ln>
                <a:noFill/>
              </a:ln>
              <a:effectLst/>
            </c:spPr>
            <c:extLst>
              <c:ext xmlns:c16="http://schemas.microsoft.com/office/drawing/2014/chart" uri="{C3380CC4-5D6E-409C-BE32-E72D297353CC}">
                <c16:uniqueId val="{00000003-F986-44E2-8A08-A1ABABE5B3FC}"/>
              </c:ext>
            </c:extLst>
          </c:dPt>
          <c:dPt>
            <c:idx val="2"/>
            <c:bubble3D val="0"/>
            <c:spPr>
              <a:solidFill>
                <a:schemeClr val="accent3"/>
              </a:solidFill>
              <a:ln>
                <a:noFill/>
              </a:ln>
              <a:effectLst/>
            </c:spPr>
            <c:extLst>
              <c:ext xmlns:c16="http://schemas.microsoft.com/office/drawing/2014/chart" uri="{C3380CC4-5D6E-409C-BE32-E72D297353CC}">
                <c16:uniqueId val="{00000005-F986-44E2-8A08-A1ABABE5B3FC}"/>
              </c:ext>
            </c:extLst>
          </c:dPt>
          <c:dPt>
            <c:idx val="3"/>
            <c:bubble3D val="0"/>
            <c:spPr>
              <a:solidFill>
                <a:schemeClr val="accent4"/>
              </a:solidFill>
              <a:ln>
                <a:noFill/>
              </a:ln>
              <a:effectLst/>
            </c:spPr>
            <c:extLst>
              <c:ext xmlns:c16="http://schemas.microsoft.com/office/drawing/2014/chart" uri="{C3380CC4-5D6E-409C-BE32-E72D297353CC}">
                <c16:uniqueId val="{00000007-F986-44E2-8A08-A1ABABE5B3FC}"/>
              </c:ext>
            </c:extLst>
          </c:dPt>
          <c:dPt>
            <c:idx val="4"/>
            <c:bubble3D val="0"/>
            <c:spPr>
              <a:solidFill>
                <a:schemeClr val="accent5"/>
              </a:solidFill>
              <a:ln>
                <a:noFill/>
              </a:ln>
              <a:effectLst/>
            </c:spPr>
            <c:extLst>
              <c:ext xmlns:c16="http://schemas.microsoft.com/office/drawing/2014/chart" uri="{C3380CC4-5D6E-409C-BE32-E72D297353CC}">
                <c16:uniqueId val="{00000009-F986-44E2-8A08-A1ABABE5B3FC}"/>
              </c:ext>
            </c:extLst>
          </c:dPt>
          <c:dPt>
            <c:idx val="5"/>
            <c:bubble3D val="0"/>
            <c:spPr>
              <a:solidFill>
                <a:schemeClr val="accent6"/>
              </a:solidFill>
              <a:ln>
                <a:noFill/>
              </a:ln>
              <a:effectLst/>
            </c:spPr>
            <c:extLst>
              <c:ext xmlns:c16="http://schemas.microsoft.com/office/drawing/2014/chart" uri="{C3380CC4-5D6E-409C-BE32-E72D297353CC}">
                <c16:uniqueId val="{0000000B-F986-44E2-8A08-A1ABABE5B3FC}"/>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F986-44E2-8A08-A1ABABE5B3FC}"/>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F986-44E2-8A08-A1ABABE5B3FC}"/>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F986-44E2-8A08-A1ABABE5B3FC}"/>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F986-44E2-8A08-A1ABABE5B3FC}"/>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15-F986-44E2-8A08-A1ABABE5B3FC}"/>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017-F986-44E2-8A08-A1ABABE5B3FC}"/>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019-F986-44E2-8A08-A1ABABE5B3FC}"/>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01B-F986-44E2-8A08-A1ABABE5B3FC}"/>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01D-F986-44E2-8A08-A1ABABE5B3FC}"/>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01F-F986-44E2-8A08-A1ABABE5B3FC}"/>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021-F986-44E2-8A08-A1ABABE5B3FC}"/>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023-F986-44E2-8A08-A1ABABE5B3FC}"/>
              </c:ext>
            </c:extLst>
          </c:dPt>
          <c:dPt>
            <c:idx val="18"/>
            <c:bubble3D val="0"/>
            <c:spPr>
              <a:solidFill>
                <a:schemeClr val="accent1">
                  <a:lumMod val="80000"/>
                </a:schemeClr>
              </a:solidFill>
              <a:ln>
                <a:noFill/>
              </a:ln>
              <a:effectLst/>
            </c:spPr>
            <c:extLst>
              <c:ext xmlns:c16="http://schemas.microsoft.com/office/drawing/2014/chart" uri="{C3380CC4-5D6E-409C-BE32-E72D297353CC}">
                <c16:uniqueId val="{00000025-F986-44E2-8A08-A1ABABE5B3FC}"/>
              </c:ext>
            </c:extLst>
          </c:dPt>
          <c:dPt>
            <c:idx val="19"/>
            <c:bubble3D val="0"/>
            <c:spPr>
              <a:solidFill>
                <a:schemeClr val="accent2">
                  <a:lumMod val="80000"/>
                </a:schemeClr>
              </a:solidFill>
              <a:ln>
                <a:noFill/>
              </a:ln>
              <a:effectLst/>
            </c:spPr>
            <c:extLst>
              <c:ext xmlns:c16="http://schemas.microsoft.com/office/drawing/2014/chart" uri="{C3380CC4-5D6E-409C-BE32-E72D297353CC}">
                <c16:uniqueId val="{00000027-F986-44E2-8A08-A1ABABE5B3FC}"/>
              </c:ext>
            </c:extLst>
          </c:dPt>
          <c:dPt>
            <c:idx val="20"/>
            <c:bubble3D val="0"/>
            <c:spPr>
              <a:solidFill>
                <a:schemeClr val="accent3">
                  <a:lumMod val="80000"/>
                </a:schemeClr>
              </a:solidFill>
              <a:ln>
                <a:noFill/>
              </a:ln>
              <a:effectLst/>
            </c:spPr>
            <c:extLst>
              <c:ext xmlns:c16="http://schemas.microsoft.com/office/drawing/2014/chart" uri="{C3380CC4-5D6E-409C-BE32-E72D297353CC}">
                <c16:uniqueId val="{00000029-F986-44E2-8A08-A1ABABE5B3FC}"/>
              </c:ext>
            </c:extLst>
          </c:dPt>
          <c:dPt>
            <c:idx val="21"/>
            <c:bubble3D val="0"/>
            <c:spPr>
              <a:solidFill>
                <a:schemeClr val="accent4">
                  <a:lumMod val="80000"/>
                </a:schemeClr>
              </a:solidFill>
              <a:ln>
                <a:noFill/>
              </a:ln>
              <a:effectLst/>
            </c:spPr>
            <c:extLst>
              <c:ext xmlns:c16="http://schemas.microsoft.com/office/drawing/2014/chart" uri="{C3380CC4-5D6E-409C-BE32-E72D297353CC}">
                <c16:uniqueId val="{0000002B-F986-44E2-8A08-A1ABABE5B3FC}"/>
              </c:ext>
            </c:extLst>
          </c:dPt>
          <c:dPt>
            <c:idx val="22"/>
            <c:bubble3D val="0"/>
            <c:spPr>
              <a:solidFill>
                <a:schemeClr val="accent5">
                  <a:lumMod val="80000"/>
                </a:schemeClr>
              </a:solidFill>
              <a:ln>
                <a:noFill/>
              </a:ln>
              <a:effectLst/>
            </c:spPr>
            <c:extLst>
              <c:ext xmlns:c16="http://schemas.microsoft.com/office/drawing/2014/chart" uri="{C3380CC4-5D6E-409C-BE32-E72D297353CC}">
                <c16:uniqueId val="{0000002D-F986-44E2-8A08-A1ABABE5B3FC}"/>
              </c:ext>
            </c:extLst>
          </c:dPt>
          <c:dPt>
            <c:idx val="23"/>
            <c:bubble3D val="0"/>
            <c:spPr>
              <a:solidFill>
                <a:schemeClr val="accent6">
                  <a:lumMod val="80000"/>
                </a:schemeClr>
              </a:solidFill>
              <a:ln>
                <a:noFill/>
              </a:ln>
              <a:effectLst/>
            </c:spPr>
            <c:extLst>
              <c:ext xmlns:c16="http://schemas.microsoft.com/office/drawing/2014/chart" uri="{C3380CC4-5D6E-409C-BE32-E72D297353CC}">
                <c16:uniqueId val="{0000002F-F986-44E2-8A08-A1ABABE5B3FC}"/>
              </c:ext>
            </c:extLst>
          </c:dPt>
          <c:dPt>
            <c:idx val="24"/>
            <c:bubble3D val="0"/>
            <c:spPr>
              <a:solidFill>
                <a:schemeClr val="accent1">
                  <a:lumMod val="60000"/>
                  <a:lumOff val="40000"/>
                </a:schemeClr>
              </a:solidFill>
              <a:ln>
                <a:noFill/>
              </a:ln>
              <a:effectLst/>
            </c:spPr>
            <c:extLst>
              <c:ext xmlns:c16="http://schemas.microsoft.com/office/drawing/2014/chart" uri="{C3380CC4-5D6E-409C-BE32-E72D297353CC}">
                <c16:uniqueId val="{00000031-F986-44E2-8A08-A1ABABE5B3FC}"/>
              </c:ext>
            </c:extLst>
          </c:dPt>
          <c:dPt>
            <c:idx val="25"/>
            <c:bubble3D val="0"/>
            <c:spPr>
              <a:solidFill>
                <a:schemeClr val="accent2">
                  <a:lumMod val="60000"/>
                  <a:lumOff val="40000"/>
                </a:schemeClr>
              </a:solidFill>
              <a:ln>
                <a:noFill/>
              </a:ln>
              <a:effectLst/>
            </c:spPr>
            <c:extLst>
              <c:ext xmlns:c16="http://schemas.microsoft.com/office/drawing/2014/chart" uri="{C3380CC4-5D6E-409C-BE32-E72D297353CC}">
                <c16:uniqueId val="{00000033-F986-44E2-8A08-A1ABABE5B3FC}"/>
              </c:ext>
            </c:extLst>
          </c:dPt>
          <c:dPt>
            <c:idx val="26"/>
            <c:bubble3D val="0"/>
            <c:spPr>
              <a:solidFill>
                <a:schemeClr val="accent3">
                  <a:lumMod val="60000"/>
                  <a:lumOff val="40000"/>
                </a:schemeClr>
              </a:solidFill>
              <a:ln>
                <a:noFill/>
              </a:ln>
              <a:effectLst/>
            </c:spPr>
            <c:extLst>
              <c:ext xmlns:c16="http://schemas.microsoft.com/office/drawing/2014/chart" uri="{C3380CC4-5D6E-409C-BE32-E72D297353CC}">
                <c16:uniqueId val="{00000035-F986-44E2-8A08-A1ABABE5B3FC}"/>
              </c:ext>
            </c:extLst>
          </c:dPt>
          <c:dPt>
            <c:idx val="27"/>
            <c:bubble3D val="0"/>
            <c:spPr>
              <a:solidFill>
                <a:schemeClr val="accent4">
                  <a:lumMod val="60000"/>
                  <a:lumOff val="40000"/>
                </a:schemeClr>
              </a:solidFill>
              <a:ln>
                <a:noFill/>
              </a:ln>
              <a:effectLst/>
            </c:spPr>
            <c:extLst>
              <c:ext xmlns:c16="http://schemas.microsoft.com/office/drawing/2014/chart" uri="{C3380CC4-5D6E-409C-BE32-E72D297353CC}">
                <c16:uniqueId val="{00000037-F986-44E2-8A08-A1ABABE5B3FC}"/>
              </c:ext>
            </c:extLst>
          </c:dPt>
          <c:dPt>
            <c:idx val="28"/>
            <c:bubble3D val="0"/>
            <c:spPr>
              <a:solidFill>
                <a:schemeClr val="accent5">
                  <a:lumMod val="60000"/>
                  <a:lumOff val="40000"/>
                </a:schemeClr>
              </a:solidFill>
              <a:ln>
                <a:noFill/>
              </a:ln>
              <a:effectLst/>
            </c:spPr>
            <c:extLst>
              <c:ext xmlns:c16="http://schemas.microsoft.com/office/drawing/2014/chart" uri="{C3380CC4-5D6E-409C-BE32-E72D297353CC}">
                <c16:uniqueId val="{00000039-F986-44E2-8A08-A1ABABE5B3FC}"/>
              </c:ext>
            </c:extLst>
          </c:dPt>
          <c:dPt>
            <c:idx val="29"/>
            <c:bubble3D val="0"/>
            <c:spPr>
              <a:solidFill>
                <a:schemeClr val="accent6">
                  <a:lumMod val="60000"/>
                  <a:lumOff val="40000"/>
                </a:schemeClr>
              </a:solidFill>
              <a:ln>
                <a:noFill/>
              </a:ln>
              <a:effectLst/>
            </c:spPr>
            <c:extLst>
              <c:ext xmlns:c16="http://schemas.microsoft.com/office/drawing/2014/chart" uri="{C3380CC4-5D6E-409C-BE32-E72D297353CC}">
                <c16:uniqueId val="{0000003B-F986-44E2-8A08-A1ABABE5B3FC}"/>
              </c:ext>
            </c:extLst>
          </c:dPt>
          <c:dPt>
            <c:idx val="30"/>
            <c:bubble3D val="0"/>
            <c:spPr>
              <a:solidFill>
                <a:schemeClr val="accent1">
                  <a:lumMod val="50000"/>
                </a:schemeClr>
              </a:solidFill>
              <a:ln>
                <a:noFill/>
              </a:ln>
              <a:effectLst/>
            </c:spPr>
            <c:extLst>
              <c:ext xmlns:c16="http://schemas.microsoft.com/office/drawing/2014/chart" uri="{C3380CC4-5D6E-409C-BE32-E72D297353CC}">
                <c16:uniqueId val="{0000003D-F986-44E2-8A08-A1ABABE5B3FC}"/>
              </c:ext>
            </c:extLst>
          </c:dPt>
          <c:dPt>
            <c:idx val="31"/>
            <c:bubble3D val="0"/>
            <c:spPr>
              <a:solidFill>
                <a:schemeClr val="accent2">
                  <a:lumMod val="50000"/>
                </a:schemeClr>
              </a:solidFill>
              <a:ln>
                <a:noFill/>
              </a:ln>
              <a:effectLst/>
            </c:spPr>
            <c:extLst>
              <c:ext xmlns:c16="http://schemas.microsoft.com/office/drawing/2014/chart" uri="{C3380CC4-5D6E-409C-BE32-E72D297353CC}">
                <c16:uniqueId val="{0000003F-F986-44E2-8A08-A1ABABE5B3FC}"/>
              </c:ext>
            </c:extLst>
          </c:dPt>
          <c:dPt>
            <c:idx val="32"/>
            <c:bubble3D val="0"/>
            <c:spPr>
              <a:solidFill>
                <a:schemeClr val="accent3">
                  <a:lumMod val="50000"/>
                </a:schemeClr>
              </a:solidFill>
              <a:ln>
                <a:noFill/>
              </a:ln>
              <a:effectLst/>
            </c:spPr>
            <c:extLst>
              <c:ext xmlns:c16="http://schemas.microsoft.com/office/drawing/2014/chart" uri="{C3380CC4-5D6E-409C-BE32-E72D297353CC}">
                <c16:uniqueId val="{00000041-F986-44E2-8A08-A1ABABE5B3FC}"/>
              </c:ext>
            </c:extLst>
          </c:dPt>
          <c:dPt>
            <c:idx val="33"/>
            <c:bubble3D val="0"/>
            <c:spPr>
              <a:solidFill>
                <a:schemeClr val="accent4">
                  <a:lumMod val="50000"/>
                </a:schemeClr>
              </a:solidFill>
              <a:ln>
                <a:noFill/>
              </a:ln>
              <a:effectLst/>
            </c:spPr>
            <c:extLst>
              <c:ext xmlns:c16="http://schemas.microsoft.com/office/drawing/2014/chart" uri="{C3380CC4-5D6E-409C-BE32-E72D297353CC}">
                <c16:uniqueId val="{00000043-F986-44E2-8A08-A1ABABE5B3FC}"/>
              </c:ext>
            </c:extLst>
          </c:dPt>
          <c:dPt>
            <c:idx val="34"/>
            <c:bubble3D val="0"/>
            <c:spPr>
              <a:solidFill>
                <a:schemeClr val="accent5">
                  <a:lumMod val="50000"/>
                </a:schemeClr>
              </a:solidFill>
              <a:ln>
                <a:noFill/>
              </a:ln>
              <a:effectLst/>
            </c:spPr>
            <c:extLst>
              <c:ext xmlns:c16="http://schemas.microsoft.com/office/drawing/2014/chart" uri="{C3380CC4-5D6E-409C-BE32-E72D297353CC}">
                <c16:uniqueId val="{00000045-F986-44E2-8A08-A1ABABE5B3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multiLvlStrRef>
              <c:f>'Orders analysis'!$A$4:$A$59</c:f>
              <c:multiLvlStrCache>
                <c:ptCount val="33"/>
                <c:lvl>
                  <c:pt idx="0">
                    <c:v>Pending</c:v>
                  </c:pt>
                  <c:pt idx="1">
                    <c:v>Delivered</c:v>
                  </c:pt>
                  <c:pt idx="2">
                    <c:v>Pending</c:v>
                  </c:pt>
                  <c:pt idx="3">
                    <c:v>Pending</c:v>
                  </c:pt>
                  <c:pt idx="4">
                    <c:v>Delivered</c:v>
                  </c:pt>
                  <c:pt idx="5">
                    <c:v>Pending</c:v>
                  </c:pt>
                  <c:pt idx="6">
                    <c:v>Delivered</c:v>
                  </c:pt>
                  <c:pt idx="7">
                    <c:v>Pending</c:v>
                  </c:pt>
                  <c:pt idx="8">
                    <c:v>Delivered</c:v>
                  </c:pt>
                  <c:pt idx="9">
                    <c:v>Delivered</c:v>
                  </c:pt>
                  <c:pt idx="10">
                    <c:v>Pending</c:v>
                  </c:pt>
                  <c:pt idx="11">
                    <c:v>Delivered</c:v>
                  </c:pt>
                  <c:pt idx="12">
                    <c:v>Pending</c:v>
                  </c:pt>
                  <c:pt idx="13">
                    <c:v>Delivered</c:v>
                  </c:pt>
                  <c:pt idx="14">
                    <c:v>Pending</c:v>
                  </c:pt>
                  <c:pt idx="15">
                    <c:v>Pending</c:v>
                  </c:pt>
                  <c:pt idx="16">
                    <c:v>Delivered</c:v>
                  </c:pt>
                  <c:pt idx="17">
                    <c:v>Pending</c:v>
                  </c:pt>
                  <c:pt idx="18">
                    <c:v>Delivered</c:v>
                  </c:pt>
                  <c:pt idx="19">
                    <c:v>Pending</c:v>
                  </c:pt>
                  <c:pt idx="20">
                    <c:v>Delivered</c:v>
                  </c:pt>
                  <c:pt idx="21">
                    <c:v>Pending</c:v>
                  </c:pt>
                  <c:pt idx="22">
                    <c:v>Delivered</c:v>
                  </c:pt>
                  <c:pt idx="23">
                    <c:v>Delivered</c:v>
                  </c:pt>
                  <c:pt idx="24">
                    <c:v>Pending</c:v>
                  </c:pt>
                  <c:pt idx="25">
                    <c:v>Delivered</c:v>
                  </c:pt>
                  <c:pt idx="26">
                    <c:v>Pending</c:v>
                  </c:pt>
                  <c:pt idx="27">
                    <c:v>Delivered</c:v>
                  </c:pt>
                  <c:pt idx="28">
                    <c:v>Delivered</c:v>
                  </c:pt>
                  <c:pt idx="29">
                    <c:v>Delivered</c:v>
                  </c:pt>
                  <c:pt idx="30">
                    <c:v>Delivered</c:v>
                  </c:pt>
                  <c:pt idx="31">
                    <c:v>Pending</c:v>
                  </c:pt>
                  <c:pt idx="32">
                    <c:v>Delivered</c:v>
                  </c:pt>
                </c:lvl>
                <c:lvl>
                  <c:pt idx="0">
                    <c:v>Apparel</c:v>
                  </c:pt>
                  <c:pt idx="1">
                    <c:v>Art and collections</c:v>
                  </c:pt>
                  <c:pt idx="3">
                    <c:v>Automotive</c:v>
                  </c:pt>
                  <c:pt idx="4">
                    <c:v>Beverages</c:v>
                  </c:pt>
                  <c:pt idx="6">
                    <c:v>Books &amp; Stationeries</c:v>
                  </c:pt>
                  <c:pt idx="8">
                    <c:v>Confectionaries</c:v>
                  </c:pt>
                  <c:pt idx="9">
                    <c:v>Cosmetics</c:v>
                  </c:pt>
                  <c:pt idx="11">
                    <c:v>Drinkware</c:v>
                  </c:pt>
                  <c:pt idx="12">
                    <c:v>Dry Fruits</c:v>
                  </c:pt>
                  <c:pt idx="13">
                    <c:v>Electronics</c:v>
                  </c:pt>
                  <c:pt idx="15">
                    <c:v>Fashion &amp; Acessories</c:v>
                  </c:pt>
                  <c:pt idx="16">
                    <c:v>Food and Beverages</c:v>
                  </c:pt>
                  <c:pt idx="18">
                    <c:v>Furniture</c:v>
                  </c:pt>
                  <c:pt idx="20">
                    <c:v>Hardware</c:v>
                  </c:pt>
                  <c:pt idx="22">
                    <c:v>Health &amp; Beauty</c:v>
                  </c:pt>
                  <c:pt idx="23">
                    <c:v>Home &amp; décor</c:v>
                  </c:pt>
                  <c:pt idx="25">
                    <c:v>Home and kitchen</c:v>
                  </c:pt>
                  <c:pt idx="27">
                    <c:v>Home and Lifestyle </c:v>
                  </c:pt>
                  <c:pt idx="28">
                    <c:v>Jewelry</c:v>
                  </c:pt>
                  <c:pt idx="29">
                    <c:v>Pet Supplies</c:v>
                  </c:pt>
                  <c:pt idx="30">
                    <c:v>Sports &amp; Fitness</c:v>
                  </c:pt>
                  <c:pt idx="32">
                    <c:v>Toys</c:v>
                  </c:pt>
                </c:lvl>
              </c:multiLvlStrCache>
            </c:multiLvlStrRef>
          </c:cat>
          <c:val>
            <c:numRef>
              <c:f>'Orders analysis'!$B$4:$B$59</c:f>
              <c:numCache>
                <c:formatCode>_ [$₹-4009]\ * #,##0.00_ ;_ [$₹-4009]\ * \-#,##0.00_ ;_ [$₹-4009]\ * "-"??_ ;_ @_ </c:formatCode>
                <c:ptCount val="33"/>
                <c:pt idx="0">
                  <c:v>4620</c:v>
                </c:pt>
                <c:pt idx="1">
                  <c:v>3240</c:v>
                </c:pt>
                <c:pt idx="2">
                  <c:v>876227</c:v>
                </c:pt>
                <c:pt idx="3">
                  <c:v>113400</c:v>
                </c:pt>
                <c:pt idx="4">
                  <c:v>15417.5</c:v>
                </c:pt>
                <c:pt idx="5">
                  <c:v>20180</c:v>
                </c:pt>
                <c:pt idx="6">
                  <c:v>9194.0999999999985</c:v>
                </c:pt>
                <c:pt idx="7">
                  <c:v>12715</c:v>
                </c:pt>
                <c:pt idx="8">
                  <c:v>900</c:v>
                </c:pt>
                <c:pt idx="9">
                  <c:v>450</c:v>
                </c:pt>
                <c:pt idx="10">
                  <c:v>4500</c:v>
                </c:pt>
                <c:pt idx="11">
                  <c:v>9408</c:v>
                </c:pt>
                <c:pt idx="12">
                  <c:v>3160</c:v>
                </c:pt>
                <c:pt idx="13">
                  <c:v>421677.5</c:v>
                </c:pt>
                <c:pt idx="14">
                  <c:v>1505165.7</c:v>
                </c:pt>
                <c:pt idx="15">
                  <c:v>142925</c:v>
                </c:pt>
                <c:pt idx="16">
                  <c:v>1460</c:v>
                </c:pt>
                <c:pt idx="17">
                  <c:v>21870</c:v>
                </c:pt>
                <c:pt idx="18">
                  <c:v>6750</c:v>
                </c:pt>
                <c:pt idx="19">
                  <c:v>31800</c:v>
                </c:pt>
                <c:pt idx="20">
                  <c:v>14374</c:v>
                </c:pt>
                <c:pt idx="21">
                  <c:v>26010</c:v>
                </c:pt>
                <c:pt idx="22">
                  <c:v>1715</c:v>
                </c:pt>
                <c:pt idx="23">
                  <c:v>211425</c:v>
                </c:pt>
                <c:pt idx="24">
                  <c:v>448205</c:v>
                </c:pt>
                <c:pt idx="25">
                  <c:v>39070</c:v>
                </c:pt>
                <c:pt idx="26">
                  <c:v>21640</c:v>
                </c:pt>
                <c:pt idx="27">
                  <c:v>1200</c:v>
                </c:pt>
                <c:pt idx="28">
                  <c:v>40000</c:v>
                </c:pt>
                <c:pt idx="29">
                  <c:v>10500</c:v>
                </c:pt>
                <c:pt idx="30">
                  <c:v>10400</c:v>
                </c:pt>
                <c:pt idx="31">
                  <c:v>149900</c:v>
                </c:pt>
                <c:pt idx="32">
                  <c:v>11430</c:v>
                </c:pt>
              </c:numCache>
            </c:numRef>
          </c:val>
          <c:extLst>
            <c:ext xmlns:c16="http://schemas.microsoft.com/office/drawing/2014/chart" uri="{C3380CC4-5D6E-409C-BE32-E72D297353CC}">
              <c16:uniqueId val="{00000046-F986-44E2-8A08-A1ABABE5B3FC}"/>
            </c:ext>
          </c:extLst>
        </c:ser>
        <c:dLbls>
          <c:showLegendKey val="0"/>
          <c:showVal val="1"/>
          <c:showCatName val="0"/>
          <c:showSerName val="0"/>
          <c:showPercent val="0"/>
          <c:showBubbleSize val="0"/>
          <c:showLeaderLines val="0"/>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[VyaaparX_Monthly_Sales_analysis.xlsx]Logistical Analysis of orders!PivotTable6</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'Logistical Analysis of orders'!$B$3</c:f>
              <c:strCache>
                <c:ptCount val="1"/>
                <c:pt idx="0">
                  <c:v>Total</c:v>
                </c:pt>
              </c:strCache>
            </c:strRef>
          </c:tx>
          <c:spPr>
            <a:ln w="28575" cap="rnd">
              <a:solidFill>
                <a:schemeClr val="accent1"/>
              </a:solidFill>
              <a:round/>
            </a:ln>
            <a:effectLst/>
          </c:spPr>
          <c:marker>
            <c:symbol val="none"/>
          </c:marker>
          <c:cat>
            <c:multiLvlStrRef>
              <c:f>'Logistical Analysis of orders'!$A$4:$A$39</c:f>
              <c:multiLvlStrCache>
                <c:ptCount val="33"/>
                <c:lvl>
                  <c:pt idx="0">
                    <c:v>Art and collections</c:v>
                  </c:pt>
                  <c:pt idx="1">
                    <c:v>Beverages</c:v>
                  </c:pt>
                  <c:pt idx="2">
                    <c:v>Books &amp; Stationeries</c:v>
                  </c:pt>
                  <c:pt idx="3">
                    <c:v>Confectionaries</c:v>
                  </c:pt>
                  <c:pt idx="4">
                    <c:v>Cosmetics</c:v>
                  </c:pt>
                  <c:pt idx="5">
                    <c:v>Drinkware</c:v>
                  </c:pt>
                  <c:pt idx="6">
                    <c:v>Electronics</c:v>
                  </c:pt>
                  <c:pt idx="7">
                    <c:v>Food and Beverages</c:v>
                  </c:pt>
                  <c:pt idx="8">
                    <c:v>Furniture</c:v>
                  </c:pt>
                  <c:pt idx="9">
                    <c:v>Hardware</c:v>
                  </c:pt>
                  <c:pt idx="10">
                    <c:v>Health &amp; Beauty</c:v>
                  </c:pt>
                  <c:pt idx="11">
                    <c:v>Home &amp; décor</c:v>
                  </c:pt>
                  <c:pt idx="12">
                    <c:v>Home and kitchen</c:v>
                  </c:pt>
                  <c:pt idx="13">
                    <c:v>Home and Lifestyle </c:v>
                  </c:pt>
                  <c:pt idx="14">
                    <c:v>Jewelry</c:v>
                  </c:pt>
                  <c:pt idx="15">
                    <c:v>Pet Supplies</c:v>
                  </c:pt>
                  <c:pt idx="16">
                    <c:v>Sports &amp; Fitness</c:v>
                  </c:pt>
                  <c:pt idx="17">
                    <c:v>Toys</c:v>
                  </c:pt>
                  <c:pt idx="18">
                    <c:v>Apparel</c:v>
                  </c:pt>
                  <c:pt idx="19">
                    <c:v>Art and collections</c:v>
                  </c:pt>
                  <c:pt idx="20">
                    <c:v>Automotive</c:v>
                  </c:pt>
                  <c:pt idx="21">
                    <c:v>Beverages</c:v>
                  </c:pt>
                  <c:pt idx="22">
                    <c:v>Books &amp; Stationeries</c:v>
                  </c:pt>
                  <c:pt idx="23">
                    <c:v>Cosmetics</c:v>
                  </c:pt>
                  <c:pt idx="24">
                    <c:v>Dry Fruits</c:v>
                  </c:pt>
                  <c:pt idx="25">
                    <c:v>Electronics</c:v>
                  </c:pt>
                  <c:pt idx="26">
                    <c:v>Fashion &amp; Acessories</c:v>
                  </c:pt>
                  <c:pt idx="27">
                    <c:v>Food and Beverages</c:v>
                  </c:pt>
                  <c:pt idx="28">
                    <c:v>Furniture</c:v>
                  </c:pt>
                  <c:pt idx="29">
                    <c:v>Hardware</c:v>
                  </c:pt>
                  <c:pt idx="30">
                    <c:v>Home &amp; décor</c:v>
                  </c:pt>
                  <c:pt idx="31">
                    <c:v>Home and kitchen</c:v>
                  </c:pt>
                  <c:pt idx="32">
                    <c:v>Sports &amp; Fitness</c:v>
                  </c:pt>
                </c:lvl>
                <c:lvl>
                  <c:pt idx="0">
                    <c:v>Delivered</c:v>
                  </c:pt>
                  <c:pt idx="18">
                    <c:v>Pending</c:v>
                  </c:pt>
                </c:lvl>
              </c:multiLvlStrCache>
            </c:multiLvlStrRef>
          </c:cat>
          <c:val>
            <c:numRef>
              <c:f>'Logistical Analysis of orders'!$B$4:$B$39</c:f>
              <c:numCache>
                <c:formatCode>_ [$₹-4009]\ * #,##0.00_ ;_ [$₹-4009]\ * \-#,##0.00_ ;_ [$₹-4009]\ * "-"??_ ;_ @_ </c:formatCode>
                <c:ptCount val="33"/>
                <c:pt idx="0">
                  <c:v>11340</c:v>
                </c:pt>
                <c:pt idx="1">
                  <c:v>85167.5</c:v>
                </c:pt>
                <c:pt idx="2">
                  <c:v>34778.1</c:v>
                </c:pt>
                <c:pt idx="3">
                  <c:v>4500</c:v>
                </c:pt>
                <c:pt idx="4">
                  <c:v>2250</c:v>
                </c:pt>
                <c:pt idx="5">
                  <c:v>48608</c:v>
                </c:pt>
                <c:pt idx="6">
                  <c:v>2261167.5</c:v>
                </c:pt>
                <c:pt idx="7">
                  <c:v>5110</c:v>
                </c:pt>
                <c:pt idx="8">
                  <c:v>51750</c:v>
                </c:pt>
                <c:pt idx="9">
                  <c:v>60074</c:v>
                </c:pt>
                <c:pt idx="10">
                  <c:v>6615</c:v>
                </c:pt>
                <c:pt idx="11">
                  <c:v>1340175</c:v>
                </c:pt>
                <c:pt idx="12">
                  <c:v>243170</c:v>
                </c:pt>
                <c:pt idx="13">
                  <c:v>4200</c:v>
                </c:pt>
                <c:pt idx="14">
                  <c:v>200000</c:v>
                </c:pt>
                <c:pt idx="15">
                  <c:v>48000</c:v>
                </c:pt>
                <c:pt idx="16">
                  <c:v>36400</c:v>
                </c:pt>
                <c:pt idx="17">
                  <c:v>65880</c:v>
                </c:pt>
                <c:pt idx="18">
                  <c:v>27720</c:v>
                </c:pt>
                <c:pt idx="19">
                  <c:v>4745317</c:v>
                </c:pt>
                <c:pt idx="20">
                  <c:v>465400</c:v>
                </c:pt>
                <c:pt idx="21">
                  <c:v>104980</c:v>
                </c:pt>
                <c:pt idx="22">
                  <c:v>45565</c:v>
                </c:pt>
                <c:pt idx="23">
                  <c:v>34500</c:v>
                </c:pt>
                <c:pt idx="24">
                  <c:v>17310</c:v>
                </c:pt>
                <c:pt idx="25">
                  <c:v>7559641.7000000002</c:v>
                </c:pt>
                <c:pt idx="26">
                  <c:v>601625</c:v>
                </c:pt>
                <c:pt idx="27">
                  <c:v>94770</c:v>
                </c:pt>
                <c:pt idx="28">
                  <c:v>137800</c:v>
                </c:pt>
                <c:pt idx="29">
                  <c:v>102210</c:v>
                </c:pt>
                <c:pt idx="30">
                  <c:v>2213205</c:v>
                </c:pt>
                <c:pt idx="31">
                  <c:v>98140</c:v>
                </c:pt>
                <c:pt idx="32">
                  <c:v>575900</c:v>
                </c:pt>
              </c:numCache>
            </c:numRef>
          </c:val>
          <c:smooth val="0"/>
          <c:extLst>
            <c:ext xmlns:c16="http://schemas.microsoft.com/office/drawing/2014/chart" uri="{C3380CC4-5D6E-409C-BE32-E72D297353CC}">
              <c16:uniqueId val="{00000000-99AB-41E1-9C51-0BBE321AFCC6}"/>
            </c:ext>
          </c:extLst>
        </c:ser>
        <c:dLbls>
          <c:showLegendKey val="0"/>
          <c:showVal val="0"/>
          <c:showCatName val="0"/>
          <c:showSerName val="0"/>
          <c:showPercent val="0"/>
          <c:showBubbleSize val="0"/>
        </c:dLbls>
        <c:smooth val="0"/>
        <c:axId val="459206848"/>
        <c:axId val="207476672"/>
      </c:lineChart>
      <c:catAx>
        <c:axId val="459206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476672"/>
        <c:crosses val="autoZero"/>
        <c:auto val="1"/>
        <c:lblAlgn val="ctr"/>
        <c:lblOffset val="100"/>
        <c:noMultiLvlLbl val="0"/>
      </c:catAx>
      <c:valAx>
        <c:axId val="207476672"/>
        <c:scaling>
          <c:orientation val="minMax"/>
        </c:scaling>
        <c:delete val="0"/>
        <c:axPos val="l"/>
        <c:majorGridlines>
          <c:spPr>
            <a:ln w="9525" cap="flat" cmpd="sng" algn="ctr">
              <a:solidFill>
                <a:schemeClr val="tx1">
                  <a:lumMod val="15000"/>
                  <a:lumOff val="85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206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5" Type="http://schemas.openxmlformats.org/officeDocument/2006/relationships/chart" Target="../charts/chart15.xml"/><Relationship Id="rId4" Type="http://schemas.openxmlformats.org/officeDocument/2006/relationships/chart" Target="../charts/chart14.xml"/></Relationships>
</file>

<file path=xl/drawings/_rels/drawing12.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6</xdr:col>
      <xdr:colOff>9525</xdr:colOff>
      <xdr:row>1</xdr:row>
      <xdr:rowOff>165100</xdr:rowOff>
    </xdr:from>
    <xdr:to>
      <xdr:col>13</xdr:col>
      <xdr:colOff>314325</xdr:colOff>
      <xdr:row>16</xdr:row>
      <xdr:rowOff>146050</xdr:rowOff>
    </xdr:to>
    <xdr:graphicFrame macro="">
      <xdr:nvGraphicFramePr>
        <xdr:cNvPr id="2" name="Chart 1">
          <a:extLst>
            <a:ext uri="{FF2B5EF4-FFF2-40B4-BE49-F238E27FC236}">
              <a16:creationId xmlns:a16="http://schemas.microsoft.com/office/drawing/2014/main" id="{C48C067D-581C-73B4-EE19-ACE5F66148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34925</xdr:colOff>
      <xdr:row>2</xdr:row>
      <xdr:rowOff>0</xdr:rowOff>
    </xdr:from>
    <xdr:to>
      <xdr:col>10</xdr:col>
      <xdr:colOff>339725</xdr:colOff>
      <xdr:row>16</xdr:row>
      <xdr:rowOff>165100</xdr:rowOff>
    </xdr:to>
    <xdr:graphicFrame macro="">
      <xdr:nvGraphicFramePr>
        <xdr:cNvPr id="2" name="Chart 1">
          <a:extLst>
            <a:ext uri="{FF2B5EF4-FFF2-40B4-BE49-F238E27FC236}">
              <a16:creationId xmlns:a16="http://schemas.microsoft.com/office/drawing/2014/main" id="{E1F83FE0-36B1-9C45-FE76-3A57700470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9525</xdr:colOff>
      <xdr:row>2</xdr:row>
      <xdr:rowOff>19050</xdr:rowOff>
    </xdr:from>
    <xdr:to>
      <xdr:col>10</xdr:col>
      <xdr:colOff>314325</xdr:colOff>
      <xdr:row>17</xdr:row>
      <xdr:rowOff>0</xdr:rowOff>
    </xdr:to>
    <xdr:graphicFrame macro="">
      <xdr:nvGraphicFramePr>
        <xdr:cNvPr id="2" name="Chart 1">
          <a:extLst>
            <a:ext uri="{FF2B5EF4-FFF2-40B4-BE49-F238E27FC236}">
              <a16:creationId xmlns:a16="http://schemas.microsoft.com/office/drawing/2014/main" id="{79DCBF05-AA43-509C-7EE8-1D871F8C13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22224</xdr:colOff>
      <xdr:row>1</xdr:row>
      <xdr:rowOff>63500</xdr:rowOff>
    </xdr:from>
    <xdr:to>
      <xdr:col>12</xdr:col>
      <xdr:colOff>596899</xdr:colOff>
      <xdr:row>18</xdr:row>
      <xdr:rowOff>6350</xdr:rowOff>
    </xdr:to>
    <xdr:graphicFrame macro="">
      <xdr:nvGraphicFramePr>
        <xdr:cNvPr id="2" name="Chart 1">
          <a:extLst>
            <a:ext uri="{FF2B5EF4-FFF2-40B4-BE49-F238E27FC236}">
              <a16:creationId xmlns:a16="http://schemas.microsoft.com/office/drawing/2014/main" id="{519E8501-9463-4D0D-5568-FECD011FC5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520700</xdr:colOff>
      <xdr:row>18</xdr:row>
      <xdr:rowOff>6350</xdr:rowOff>
    </xdr:from>
    <xdr:to>
      <xdr:col>6</xdr:col>
      <xdr:colOff>425450</xdr:colOff>
      <xdr:row>31</xdr:row>
      <xdr:rowOff>136525</xdr:rowOff>
    </xdr:to>
    <mc:AlternateContent xmlns:mc="http://schemas.openxmlformats.org/markup-compatibility/2006" xmlns:a14="http://schemas.microsoft.com/office/drawing/2010/main">
      <mc:Choice Requires="a14">
        <xdr:graphicFrame macro="">
          <xdr:nvGraphicFramePr>
            <xdr:cNvPr id="3" name="Order Cateogry">
              <a:extLst>
                <a:ext uri="{FF2B5EF4-FFF2-40B4-BE49-F238E27FC236}">
                  <a16:creationId xmlns:a16="http://schemas.microsoft.com/office/drawing/2014/main" id="{518D6591-D847-8715-584E-C8D20BF6E45F}"/>
                </a:ext>
              </a:extLst>
            </xdr:cNvPr>
            <xdr:cNvGraphicFramePr/>
          </xdr:nvGraphicFramePr>
          <xdr:xfrm>
            <a:off x="0" y="0"/>
            <a:ext cx="0" cy="0"/>
          </xdr:xfrm>
          <a:graphic>
            <a:graphicData uri="http://schemas.microsoft.com/office/drawing/2010/slicer">
              <sle:slicer xmlns:sle="http://schemas.microsoft.com/office/drawing/2010/slicer" name="Order Cateogry"/>
            </a:graphicData>
          </a:graphic>
        </xdr:graphicFrame>
      </mc:Choice>
      <mc:Fallback xmlns="">
        <xdr:sp macro="" textlink="">
          <xdr:nvSpPr>
            <xdr:cNvPr id="0" name=""/>
            <xdr:cNvSpPr>
              <a:spLocks noTextEdit="1"/>
            </xdr:cNvSpPr>
          </xdr:nvSpPr>
          <xdr:spPr>
            <a:xfrm>
              <a:off x="4768850" y="33210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203200</xdr:colOff>
      <xdr:row>17</xdr:row>
      <xdr:rowOff>165100</xdr:rowOff>
    </xdr:from>
    <xdr:to>
      <xdr:col>12</xdr:col>
      <xdr:colOff>203200</xdr:colOff>
      <xdr:row>31</xdr:row>
      <xdr:rowOff>111125</xdr:rowOff>
    </xdr:to>
    <mc:AlternateContent xmlns:mc="http://schemas.openxmlformats.org/markup-compatibility/2006" xmlns:a14="http://schemas.microsoft.com/office/drawing/2010/main">
      <mc:Choice Requires="a14">
        <xdr:graphicFrame macro="">
          <xdr:nvGraphicFramePr>
            <xdr:cNvPr id="4" name="Order_status 1">
              <a:extLst>
                <a:ext uri="{FF2B5EF4-FFF2-40B4-BE49-F238E27FC236}">
                  <a16:creationId xmlns:a16="http://schemas.microsoft.com/office/drawing/2014/main" id="{7A515DB3-0359-E5BD-1102-D04C8901CC06}"/>
                </a:ext>
              </a:extLst>
            </xdr:cNvPr>
            <xdr:cNvGraphicFramePr/>
          </xdr:nvGraphicFramePr>
          <xdr:xfrm>
            <a:off x="0" y="0"/>
            <a:ext cx="0" cy="0"/>
          </xdr:xfrm>
          <a:graphic>
            <a:graphicData uri="http://schemas.microsoft.com/office/drawing/2010/slicer">
              <sle:slicer xmlns:sle="http://schemas.microsoft.com/office/drawing/2010/slicer" name="Order_status 1"/>
            </a:graphicData>
          </a:graphic>
        </xdr:graphicFrame>
      </mc:Choice>
      <mc:Fallback xmlns="">
        <xdr:sp macro="" textlink="">
          <xdr:nvSpPr>
            <xdr:cNvPr id="0" name=""/>
            <xdr:cNvSpPr>
              <a:spLocks noTextEdit="1"/>
            </xdr:cNvSpPr>
          </xdr:nvSpPr>
          <xdr:spPr>
            <a:xfrm>
              <a:off x="7499350" y="32956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460375</xdr:colOff>
      <xdr:row>2</xdr:row>
      <xdr:rowOff>120650</xdr:rowOff>
    </xdr:from>
    <xdr:to>
      <xdr:col>12</xdr:col>
      <xdr:colOff>155575</xdr:colOff>
      <xdr:row>17</xdr:row>
      <xdr:rowOff>101600</xdr:rowOff>
    </xdr:to>
    <xdr:graphicFrame macro="">
      <xdr:nvGraphicFramePr>
        <xdr:cNvPr id="2" name="Chart 1">
          <a:extLst>
            <a:ext uri="{FF2B5EF4-FFF2-40B4-BE49-F238E27FC236}">
              <a16:creationId xmlns:a16="http://schemas.microsoft.com/office/drawing/2014/main" id="{9F99D422-CC6B-B05F-7329-77A3F01216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165100</xdr:colOff>
      <xdr:row>18</xdr:row>
      <xdr:rowOff>133350</xdr:rowOff>
    </xdr:from>
    <xdr:to>
      <xdr:col>5</xdr:col>
      <xdr:colOff>165100</xdr:colOff>
      <xdr:row>32</xdr:row>
      <xdr:rowOff>79375</xdr:rowOff>
    </xdr:to>
    <mc:AlternateContent xmlns:mc="http://schemas.openxmlformats.org/markup-compatibility/2006" xmlns:a14="http://schemas.microsoft.com/office/drawing/2010/main">
      <mc:Choice Requires="a14">
        <xdr:graphicFrame macro="">
          <xdr:nvGraphicFramePr>
            <xdr:cNvPr id="3" name="Type Of Products">
              <a:extLst>
                <a:ext uri="{FF2B5EF4-FFF2-40B4-BE49-F238E27FC236}">
                  <a16:creationId xmlns:a16="http://schemas.microsoft.com/office/drawing/2014/main" id="{DE073383-015A-66C6-3D69-91F3C9AF0E4C}"/>
                </a:ext>
              </a:extLst>
            </xdr:cNvPr>
            <xdr:cNvGraphicFramePr/>
          </xdr:nvGraphicFramePr>
          <xdr:xfrm>
            <a:off x="0" y="0"/>
            <a:ext cx="0" cy="0"/>
          </xdr:xfrm>
          <a:graphic>
            <a:graphicData uri="http://schemas.microsoft.com/office/drawing/2010/slicer">
              <sle:slicer xmlns:sle="http://schemas.microsoft.com/office/drawing/2010/slicer" name="Type Of Products"/>
            </a:graphicData>
          </a:graphic>
        </xdr:graphicFrame>
      </mc:Choice>
      <mc:Fallback xmlns="">
        <xdr:sp macro="" textlink="">
          <xdr:nvSpPr>
            <xdr:cNvPr id="0" name=""/>
            <xdr:cNvSpPr>
              <a:spLocks noTextEdit="1"/>
            </xdr:cNvSpPr>
          </xdr:nvSpPr>
          <xdr:spPr>
            <a:xfrm>
              <a:off x="2070100" y="34480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xdr:colOff>
      <xdr:row>11</xdr:row>
      <xdr:rowOff>95250</xdr:rowOff>
    </xdr:from>
    <xdr:to>
      <xdr:col>1</xdr:col>
      <xdr:colOff>914400</xdr:colOff>
      <xdr:row>25</xdr:row>
      <xdr:rowOff>41275</xdr:rowOff>
    </xdr:to>
    <mc:AlternateContent xmlns:mc="http://schemas.openxmlformats.org/markup-compatibility/2006" xmlns:a14="http://schemas.microsoft.com/office/drawing/2010/main">
      <mc:Choice Requires="a14">
        <xdr:graphicFrame macro="">
          <xdr:nvGraphicFramePr>
            <xdr:cNvPr id="4" name="Payment_Mode">
              <a:extLst>
                <a:ext uri="{FF2B5EF4-FFF2-40B4-BE49-F238E27FC236}">
                  <a16:creationId xmlns:a16="http://schemas.microsoft.com/office/drawing/2014/main" id="{9098930A-85A8-8DD3-0103-900739841EA9}"/>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mlns="">
        <xdr:sp macro="" textlink="">
          <xdr:nvSpPr>
            <xdr:cNvPr id="0" name=""/>
            <xdr:cNvSpPr>
              <a:spLocks noTextEdit="1"/>
            </xdr:cNvSpPr>
          </xdr:nvSpPr>
          <xdr:spPr>
            <a:xfrm>
              <a:off x="19050" y="21209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546100</xdr:colOff>
      <xdr:row>4</xdr:row>
      <xdr:rowOff>120650</xdr:rowOff>
    </xdr:from>
    <xdr:to>
      <xdr:col>15</xdr:col>
      <xdr:colOff>546100</xdr:colOff>
      <xdr:row>18</xdr:row>
      <xdr:rowOff>66675</xdr:rowOff>
    </xdr:to>
    <mc:AlternateContent xmlns:mc="http://schemas.openxmlformats.org/markup-compatibility/2006" xmlns:a14="http://schemas.microsoft.com/office/drawing/2010/main">
      <mc:Choice Requires="a14">
        <xdr:graphicFrame macro="">
          <xdr:nvGraphicFramePr>
            <xdr:cNvPr id="5" name="Order_status">
              <a:extLst>
                <a:ext uri="{FF2B5EF4-FFF2-40B4-BE49-F238E27FC236}">
                  <a16:creationId xmlns:a16="http://schemas.microsoft.com/office/drawing/2014/main" id="{2E9DC8A7-B272-FD2E-14BF-EAB8D7FB6218}"/>
                </a:ext>
              </a:extLst>
            </xdr:cNvPr>
            <xdr:cNvGraphicFramePr/>
          </xdr:nvGraphicFramePr>
          <xdr:xfrm>
            <a:off x="0" y="0"/>
            <a:ext cx="0" cy="0"/>
          </xdr:xfrm>
          <a:graphic>
            <a:graphicData uri="http://schemas.microsoft.com/office/drawing/2010/slicer">
              <sle:slicer xmlns:sle="http://schemas.microsoft.com/office/drawing/2010/slicer" name="Order_status"/>
            </a:graphicData>
          </a:graphic>
        </xdr:graphicFrame>
      </mc:Choice>
      <mc:Fallback xmlns="">
        <xdr:sp macro="" textlink="">
          <xdr:nvSpPr>
            <xdr:cNvPr id="0" name=""/>
            <xdr:cNvSpPr>
              <a:spLocks noTextEdit="1"/>
            </xdr:cNvSpPr>
          </xdr:nvSpPr>
          <xdr:spPr>
            <a:xfrm>
              <a:off x="8547100" y="8572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196850</xdr:colOff>
      <xdr:row>2</xdr:row>
      <xdr:rowOff>120650</xdr:rowOff>
    </xdr:from>
    <xdr:to>
      <xdr:col>12</xdr:col>
      <xdr:colOff>419099</xdr:colOff>
      <xdr:row>21</xdr:row>
      <xdr:rowOff>107950</xdr:rowOff>
    </xdr:to>
    <xdr:graphicFrame macro="">
      <xdr:nvGraphicFramePr>
        <xdr:cNvPr id="2" name="Chart 1">
          <a:extLst>
            <a:ext uri="{FF2B5EF4-FFF2-40B4-BE49-F238E27FC236}">
              <a16:creationId xmlns:a16="http://schemas.microsoft.com/office/drawing/2014/main" id="{2ACBD825-F977-3909-D322-EDD64EBD5A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596900</xdr:colOff>
      <xdr:row>1</xdr:row>
      <xdr:rowOff>165100</xdr:rowOff>
    </xdr:from>
    <xdr:to>
      <xdr:col>10</xdr:col>
      <xdr:colOff>292100</xdr:colOff>
      <xdr:row>16</xdr:row>
      <xdr:rowOff>146050</xdr:rowOff>
    </xdr:to>
    <xdr:graphicFrame macro="">
      <xdr:nvGraphicFramePr>
        <xdr:cNvPr id="2" name="Chart 1">
          <a:extLst>
            <a:ext uri="{FF2B5EF4-FFF2-40B4-BE49-F238E27FC236}">
              <a16:creationId xmlns:a16="http://schemas.microsoft.com/office/drawing/2014/main" id="{258312C1-AD48-BE3D-4A88-AF503321F7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149225</xdr:colOff>
      <xdr:row>2</xdr:row>
      <xdr:rowOff>120650</xdr:rowOff>
    </xdr:from>
    <xdr:to>
      <xdr:col>11</xdr:col>
      <xdr:colOff>454025</xdr:colOff>
      <xdr:row>17</xdr:row>
      <xdr:rowOff>101600</xdr:rowOff>
    </xdr:to>
    <xdr:graphicFrame macro="">
      <xdr:nvGraphicFramePr>
        <xdr:cNvPr id="3" name="Chart 2">
          <a:extLst>
            <a:ext uri="{FF2B5EF4-FFF2-40B4-BE49-F238E27FC236}">
              <a16:creationId xmlns:a16="http://schemas.microsoft.com/office/drawing/2014/main" id="{8B7E56EB-B0B4-EE9C-7D0D-457101B6D2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9524</xdr:colOff>
      <xdr:row>1</xdr:row>
      <xdr:rowOff>165100</xdr:rowOff>
    </xdr:from>
    <xdr:to>
      <xdr:col>13</xdr:col>
      <xdr:colOff>292100</xdr:colOff>
      <xdr:row>16</xdr:row>
      <xdr:rowOff>146050</xdr:rowOff>
    </xdr:to>
    <xdr:graphicFrame macro="">
      <xdr:nvGraphicFramePr>
        <xdr:cNvPr id="2" name="Chart 1">
          <a:extLst>
            <a:ext uri="{FF2B5EF4-FFF2-40B4-BE49-F238E27FC236}">
              <a16:creationId xmlns:a16="http://schemas.microsoft.com/office/drawing/2014/main" id="{AD4B12AA-C38F-58CD-5C6F-1F1FAA4200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4</xdr:col>
      <xdr:colOff>38100</xdr:colOff>
      <xdr:row>2</xdr:row>
      <xdr:rowOff>38100</xdr:rowOff>
    </xdr:from>
    <xdr:to>
      <xdr:col>11</xdr:col>
      <xdr:colOff>342900</xdr:colOff>
      <xdr:row>17</xdr:row>
      <xdr:rowOff>19050</xdr:rowOff>
    </xdr:to>
    <xdr:graphicFrame macro="">
      <xdr:nvGraphicFramePr>
        <xdr:cNvPr id="2" name="Chart 1">
          <a:extLst>
            <a:ext uri="{FF2B5EF4-FFF2-40B4-BE49-F238E27FC236}">
              <a16:creationId xmlns:a16="http://schemas.microsoft.com/office/drawing/2014/main" id="{C160CDCD-A447-1FCD-E429-A5CDBE300A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4</xdr:col>
      <xdr:colOff>22224</xdr:colOff>
      <xdr:row>2</xdr:row>
      <xdr:rowOff>0</xdr:rowOff>
    </xdr:from>
    <xdr:to>
      <xdr:col>13</xdr:col>
      <xdr:colOff>546099</xdr:colOff>
      <xdr:row>16</xdr:row>
      <xdr:rowOff>165100</xdr:rowOff>
    </xdr:to>
    <xdr:graphicFrame macro="">
      <xdr:nvGraphicFramePr>
        <xdr:cNvPr id="2" name="Chart 1">
          <a:extLst>
            <a:ext uri="{FF2B5EF4-FFF2-40B4-BE49-F238E27FC236}">
              <a16:creationId xmlns:a16="http://schemas.microsoft.com/office/drawing/2014/main" id="{30244F54-367C-E756-D781-4A02B4395E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1177925</xdr:colOff>
      <xdr:row>206</xdr:row>
      <xdr:rowOff>120650</xdr:rowOff>
    </xdr:from>
    <xdr:to>
      <xdr:col>9</xdr:col>
      <xdr:colOff>41275</xdr:colOff>
      <xdr:row>221</xdr:row>
      <xdr:rowOff>101600</xdr:rowOff>
    </xdr:to>
    <xdr:graphicFrame macro="">
      <xdr:nvGraphicFramePr>
        <xdr:cNvPr id="3" name="Chart 2">
          <a:extLst>
            <a:ext uri="{FF2B5EF4-FFF2-40B4-BE49-F238E27FC236}">
              <a16:creationId xmlns:a16="http://schemas.microsoft.com/office/drawing/2014/main" id="{FA44D476-70DE-84A1-AA3B-DEE28BFA6D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41274</xdr:colOff>
      <xdr:row>187</xdr:row>
      <xdr:rowOff>149224</xdr:rowOff>
    </xdr:from>
    <xdr:to>
      <xdr:col>14</xdr:col>
      <xdr:colOff>184149</xdr:colOff>
      <xdr:row>203</xdr:row>
      <xdr:rowOff>171449</xdr:rowOff>
    </xdr:to>
    <xdr:graphicFrame macro="">
      <xdr:nvGraphicFramePr>
        <xdr:cNvPr id="4" name="Chart 3">
          <a:extLst>
            <a:ext uri="{FF2B5EF4-FFF2-40B4-BE49-F238E27FC236}">
              <a16:creationId xmlns:a16="http://schemas.microsoft.com/office/drawing/2014/main" id="{C4035518-2544-6900-5A38-3649384807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12700</xdr:colOff>
      <xdr:row>245</xdr:row>
      <xdr:rowOff>9525</xdr:rowOff>
    </xdr:from>
    <xdr:to>
      <xdr:col>9</xdr:col>
      <xdr:colOff>419100</xdr:colOff>
      <xdr:row>259</xdr:row>
      <xdr:rowOff>174625</xdr:rowOff>
    </xdr:to>
    <xdr:graphicFrame macro="">
      <xdr:nvGraphicFramePr>
        <xdr:cNvPr id="5" name="Chart 4">
          <a:extLst>
            <a:ext uri="{FF2B5EF4-FFF2-40B4-BE49-F238E27FC236}">
              <a16:creationId xmlns:a16="http://schemas.microsoft.com/office/drawing/2014/main" id="{40BDC8D2-5234-2893-7F8C-3A91205D1A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298450</xdr:colOff>
      <xdr:row>31</xdr:row>
      <xdr:rowOff>76200</xdr:rowOff>
    </xdr:from>
    <xdr:to>
      <xdr:col>14</xdr:col>
      <xdr:colOff>469900</xdr:colOff>
      <xdr:row>49</xdr:row>
      <xdr:rowOff>133350</xdr:rowOff>
    </xdr:to>
    <xdr:graphicFrame macro="">
      <xdr:nvGraphicFramePr>
        <xdr:cNvPr id="6" name="Chart 5">
          <a:extLst>
            <a:ext uri="{FF2B5EF4-FFF2-40B4-BE49-F238E27FC236}">
              <a16:creationId xmlns:a16="http://schemas.microsoft.com/office/drawing/2014/main" id="{990B4B17-D4CD-4E13-9552-944A403D9E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0</xdr:col>
      <xdr:colOff>63500</xdr:colOff>
      <xdr:row>16</xdr:row>
      <xdr:rowOff>139700</xdr:rowOff>
    </xdr:from>
    <xdr:to>
      <xdr:col>2</xdr:col>
      <xdr:colOff>463550</xdr:colOff>
      <xdr:row>21</xdr:row>
      <xdr:rowOff>69850</xdr:rowOff>
    </xdr:to>
    <xdr:sp macro="" textlink="Orders!D228">
      <xdr:nvSpPr>
        <xdr:cNvPr id="2" name="Rectangle: Rounded Corners 1">
          <a:extLst>
            <a:ext uri="{FF2B5EF4-FFF2-40B4-BE49-F238E27FC236}">
              <a16:creationId xmlns:a16="http://schemas.microsoft.com/office/drawing/2014/main" id="{DC961BA3-54A8-AE07-3352-05185FA37866}"/>
            </a:ext>
          </a:extLst>
        </xdr:cNvPr>
        <xdr:cNvSpPr/>
      </xdr:nvSpPr>
      <xdr:spPr>
        <a:xfrm>
          <a:off x="63500" y="3086100"/>
          <a:ext cx="1619250" cy="850900"/>
        </a:xfrm>
        <a:prstGeom prst="roundRect">
          <a:avLst/>
        </a:prstGeom>
        <a:solidFill>
          <a:srgbClr val="C00000"/>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47286C2-BFFB-4616-B8C7-611729F76C83}" type="TxLink">
            <a:rPr lang="en-US" sz="1200" b="1" i="0" u="none" strike="noStrike">
              <a:solidFill>
                <a:srgbClr val="000000"/>
              </a:solidFill>
              <a:latin typeface="Bahnschrift SemiLight SemiConde" panose="020B0502040204020203" pitchFamily="34" charset="0"/>
              <a:cs typeface="Calibri"/>
            </a:rPr>
            <a:pPr algn="ctr"/>
            <a:t>Pending Orders: 139
Delivered Orders: 61</a:t>
          </a:fld>
          <a:endParaRPr lang="en-US" sz="1200" b="1">
            <a:latin typeface="Bahnschrift SemiLight SemiConde" panose="020B0502040204020203" pitchFamily="34" charset="0"/>
          </a:endParaRPr>
        </a:p>
      </xdr:txBody>
    </xdr:sp>
    <xdr:clientData/>
  </xdr:twoCellAnchor>
  <xdr:twoCellAnchor>
    <xdr:from>
      <xdr:col>0</xdr:col>
      <xdr:colOff>25400</xdr:colOff>
      <xdr:row>0</xdr:row>
      <xdr:rowOff>63500</xdr:rowOff>
    </xdr:from>
    <xdr:to>
      <xdr:col>18</xdr:col>
      <xdr:colOff>412750</xdr:colOff>
      <xdr:row>7</xdr:row>
      <xdr:rowOff>44450</xdr:rowOff>
    </xdr:to>
    <xdr:sp macro="" textlink="">
      <xdr:nvSpPr>
        <xdr:cNvPr id="3" name="Rectangle: Rounded Corners 2">
          <a:extLst>
            <a:ext uri="{FF2B5EF4-FFF2-40B4-BE49-F238E27FC236}">
              <a16:creationId xmlns:a16="http://schemas.microsoft.com/office/drawing/2014/main" id="{EB48C7BE-2161-F1D5-FB3F-89D3F1A265FD}"/>
            </a:ext>
          </a:extLst>
        </xdr:cNvPr>
        <xdr:cNvSpPr/>
      </xdr:nvSpPr>
      <xdr:spPr>
        <a:xfrm>
          <a:off x="25400" y="63500"/>
          <a:ext cx="11360150" cy="1270000"/>
        </a:xfrm>
        <a:prstGeom prst="roundRect">
          <a:avLst/>
        </a:prstGeom>
        <a:solidFill>
          <a:schemeClr val="accent4">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i="0">
              <a:latin typeface="Bahnschrift SemiBold SemiConden" panose="020B0502040204020203" pitchFamily="34" charset="0"/>
            </a:rPr>
            <a:t>E-COMMERCE SALES ANALYTICS FOR MONTH OF JANUARY</a:t>
          </a:r>
        </a:p>
      </xdr:txBody>
    </xdr:sp>
    <xdr:clientData/>
  </xdr:twoCellAnchor>
  <xdr:twoCellAnchor>
    <xdr:from>
      <xdr:col>8</xdr:col>
      <xdr:colOff>146050</xdr:colOff>
      <xdr:row>17</xdr:row>
      <xdr:rowOff>12700</xdr:rowOff>
    </xdr:from>
    <xdr:to>
      <xdr:col>11</xdr:col>
      <xdr:colOff>25400</xdr:colOff>
      <xdr:row>21</xdr:row>
      <xdr:rowOff>171450</xdr:rowOff>
    </xdr:to>
    <xdr:sp macro="" textlink="Orders!F219">
      <xdr:nvSpPr>
        <xdr:cNvPr id="4" name="Rectangle: Rounded Corners 3">
          <a:extLst>
            <a:ext uri="{FF2B5EF4-FFF2-40B4-BE49-F238E27FC236}">
              <a16:creationId xmlns:a16="http://schemas.microsoft.com/office/drawing/2014/main" id="{15D073FD-D84D-C5DB-AF71-4AD9CFA3FF35}"/>
            </a:ext>
          </a:extLst>
        </xdr:cNvPr>
        <xdr:cNvSpPr/>
      </xdr:nvSpPr>
      <xdr:spPr>
        <a:xfrm>
          <a:off x="5022850" y="3143250"/>
          <a:ext cx="1708150" cy="895350"/>
        </a:xfrm>
        <a:prstGeom prst="roundRect">
          <a:avLst/>
        </a:prstGeom>
        <a:ln>
          <a:noFill/>
        </a:ln>
        <a:effectLst>
          <a:outerShdw blurRad="50800" dist="38100" dir="2700000" algn="tl"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0" i="0" u="none" strike="noStrike">
              <a:solidFill>
                <a:srgbClr val="000000"/>
              </a:solidFill>
              <a:latin typeface="Bahnschrift SemiBold Condensed" panose="020B0502040204020203" pitchFamily="34" charset="0"/>
              <a:cs typeface="Calibri"/>
            </a:rPr>
            <a:t>Net Sales:</a:t>
          </a:r>
          <a:fld id="{2FD998ED-5BF2-448E-8D86-479D25ABD737}" type="TxLink">
            <a:rPr lang="en-US" sz="1200" b="0" i="0" u="none" strike="noStrike">
              <a:solidFill>
                <a:srgbClr val="000000"/>
              </a:solidFill>
              <a:latin typeface="Bahnschrift SemiBold Condensed" panose="020B0502040204020203" pitchFamily="34" charset="0"/>
              <a:cs typeface="Calibri"/>
            </a:rPr>
            <a:pPr algn="ctr"/>
            <a:t> ₹ 21,333,268.80 </a:t>
          </a:fld>
          <a:endParaRPr lang="en-US" sz="1200" b="1">
            <a:latin typeface="Bahnschrift SemiBold Condensed" panose="020B0502040204020203" pitchFamily="34" charset="0"/>
          </a:endParaRPr>
        </a:p>
      </xdr:txBody>
    </xdr:sp>
    <xdr:clientData/>
  </xdr:twoCellAnchor>
  <xdr:twoCellAnchor>
    <xdr:from>
      <xdr:col>15</xdr:col>
      <xdr:colOff>285750</xdr:colOff>
      <xdr:row>17</xdr:row>
      <xdr:rowOff>31750</xdr:rowOff>
    </xdr:from>
    <xdr:to>
      <xdr:col>18</xdr:col>
      <xdr:colOff>209550</xdr:colOff>
      <xdr:row>22</xdr:row>
      <xdr:rowOff>31750</xdr:rowOff>
    </xdr:to>
    <xdr:sp macro="" textlink="Orders!G219">
      <xdr:nvSpPr>
        <xdr:cNvPr id="6" name="Rectangle: Rounded Corners 5">
          <a:extLst>
            <a:ext uri="{FF2B5EF4-FFF2-40B4-BE49-F238E27FC236}">
              <a16:creationId xmlns:a16="http://schemas.microsoft.com/office/drawing/2014/main" id="{8E26D65F-AFE2-43B0-9D40-57DB478B02FB}"/>
            </a:ext>
          </a:extLst>
        </xdr:cNvPr>
        <xdr:cNvSpPr/>
      </xdr:nvSpPr>
      <xdr:spPr>
        <a:xfrm>
          <a:off x="9429750" y="3162300"/>
          <a:ext cx="1752600" cy="920750"/>
        </a:xfrm>
        <a:prstGeom prst="roundRect">
          <a:avLst/>
        </a:prstGeom>
        <a:solidFill>
          <a:schemeClr val="accent6">
            <a:lumMod val="75000"/>
          </a:schemeClr>
        </a:solidFill>
        <a:ln>
          <a:noFill/>
        </a:ln>
        <a:effectLst>
          <a:outerShdw blurRad="50800" dist="38100" dir="2700000" algn="tl"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0" i="0" u="none" strike="noStrike">
              <a:solidFill>
                <a:srgbClr val="000000"/>
              </a:solidFill>
              <a:latin typeface="Bahnschrift SemiBold SemiConden" panose="020B0502040204020203" pitchFamily="34" charset="0"/>
              <a:cs typeface="Calibri"/>
            </a:rPr>
            <a:t>Surplus:</a:t>
          </a:r>
          <a:r>
            <a:rPr lang="en-US" sz="1200" b="0" i="0" u="none" strike="noStrike" baseline="0">
              <a:solidFill>
                <a:srgbClr val="000000"/>
              </a:solidFill>
              <a:latin typeface="Bahnschrift SemiBold SemiConden" panose="020B0502040204020203" pitchFamily="34" charset="0"/>
              <a:cs typeface="Calibri"/>
            </a:rPr>
            <a:t> </a:t>
          </a:r>
          <a:fld id="{A3DA2624-C20C-432C-9455-9E243F7432AF}" type="TxLink">
            <a:rPr lang="en-US" sz="1200" b="0" i="0" u="none" strike="noStrike">
              <a:solidFill>
                <a:srgbClr val="000000"/>
              </a:solidFill>
              <a:latin typeface="Bahnschrift SemiBold SemiConden" panose="020B0502040204020203" pitchFamily="34" charset="0"/>
              <a:cs typeface="Calibri"/>
            </a:rPr>
            <a:pPr algn="ctr"/>
            <a:t>₹ 4,190,928.80</a:t>
          </a:fld>
          <a:endParaRPr lang="en-US" sz="1200" b="1">
            <a:latin typeface="Bahnschrift SemiBold SemiConden" panose="020B0502040204020203" pitchFamily="34" charset="0"/>
          </a:endParaRPr>
        </a:p>
      </xdr:txBody>
    </xdr:sp>
    <xdr:clientData/>
  </xdr:twoCellAnchor>
  <xdr:twoCellAnchor>
    <xdr:from>
      <xdr:col>0</xdr:col>
      <xdr:colOff>0</xdr:colOff>
      <xdr:row>30</xdr:row>
      <xdr:rowOff>25400</xdr:rowOff>
    </xdr:from>
    <xdr:to>
      <xdr:col>4</xdr:col>
      <xdr:colOff>596900</xdr:colOff>
      <xdr:row>39</xdr:row>
      <xdr:rowOff>165100</xdr:rowOff>
    </xdr:to>
    <xdr:graphicFrame macro="">
      <xdr:nvGraphicFramePr>
        <xdr:cNvPr id="8" name="Chart 7">
          <a:extLst>
            <a:ext uri="{FF2B5EF4-FFF2-40B4-BE49-F238E27FC236}">
              <a16:creationId xmlns:a16="http://schemas.microsoft.com/office/drawing/2014/main" id="{616BEAAD-1D6C-499A-84F9-81FFED6EF0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450850</xdr:colOff>
      <xdr:row>41</xdr:row>
      <xdr:rowOff>133350</xdr:rowOff>
    </xdr:from>
    <xdr:to>
      <xdr:col>3</xdr:col>
      <xdr:colOff>450850</xdr:colOff>
      <xdr:row>55</xdr:row>
      <xdr:rowOff>79375</xdr:rowOff>
    </xdr:to>
    <mc:AlternateContent xmlns:mc="http://schemas.openxmlformats.org/markup-compatibility/2006" xmlns:a14="http://schemas.microsoft.com/office/drawing/2010/main">
      <mc:Choice Requires="a14">
        <xdr:graphicFrame macro="">
          <xdr:nvGraphicFramePr>
            <xdr:cNvPr id="9" name="Type Of Products 1">
              <a:extLst>
                <a:ext uri="{FF2B5EF4-FFF2-40B4-BE49-F238E27FC236}">
                  <a16:creationId xmlns:a16="http://schemas.microsoft.com/office/drawing/2014/main" id="{E7090D63-0405-2B52-4E7D-9B20F7110319}"/>
                </a:ext>
              </a:extLst>
            </xdr:cNvPr>
            <xdr:cNvGraphicFramePr/>
          </xdr:nvGraphicFramePr>
          <xdr:xfrm>
            <a:off x="0" y="0"/>
            <a:ext cx="0" cy="0"/>
          </xdr:xfrm>
          <a:graphic>
            <a:graphicData uri="http://schemas.microsoft.com/office/drawing/2010/slicer">
              <sle:slicer xmlns:sle="http://schemas.microsoft.com/office/drawing/2010/slicer" name="Type Of Products 1"/>
            </a:graphicData>
          </a:graphic>
        </xdr:graphicFrame>
      </mc:Choice>
      <mc:Fallback xmlns="">
        <xdr:sp macro="" textlink="">
          <xdr:nvSpPr>
            <xdr:cNvPr id="0" name=""/>
            <xdr:cNvSpPr>
              <a:spLocks noTextEdit="1"/>
            </xdr:cNvSpPr>
          </xdr:nvSpPr>
          <xdr:spPr>
            <a:xfrm>
              <a:off x="450850" y="76835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234950</xdr:colOff>
      <xdr:row>27</xdr:row>
      <xdr:rowOff>120650</xdr:rowOff>
    </xdr:from>
    <xdr:to>
      <xdr:col>20</xdr:col>
      <xdr:colOff>31749</xdr:colOff>
      <xdr:row>40</xdr:row>
      <xdr:rowOff>177800</xdr:rowOff>
    </xdr:to>
    <xdr:graphicFrame macro="">
      <xdr:nvGraphicFramePr>
        <xdr:cNvPr id="12" name="Chart 11">
          <a:extLst>
            <a:ext uri="{FF2B5EF4-FFF2-40B4-BE49-F238E27FC236}">
              <a16:creationId xmlns:a16="http://schemas.microsoft.com/office/drawing/2014/main" id="{3DFD960C-20EF-4C1C-9CA6-AD49E3154F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14</xdr:col>
      <xdr:colOff>406400</xdr:colOff>
      <xdr:row>41</xdr:row>
      <xdr:rowOff>63500</xdr:rowOff>
    </xdr:from>
    <xdr:to>
      <xdr:col>17</xdr:col>
      <xdr:colOff>406400</xdr:colOff>
      <xdr:row>55</xdr:row>
      <xdr:rowOff>9525</xdr:rowOff>
    </xdr:to>
    <mc:AlternateContent xmlns:mc="http://schemas.openxmlformats.org/markup-compatibility/2006" xmlns:a14="http://schemas.microsoft.com/office/drawing/2010/main">
      <mc:Choice Requires="a14">
        <xdr:graphicFrame macro="">
          <xdr:nvGraphicFramePr>
            <xdr:cNvPr id="13" name="Type Of Products 2">
              <a:extLst>
                <a:ext uri="{FF2B5EF4-FFF2-40B4-BE49-F238E27FC236}">
                  <a16:creationId xmlns:a16="http://schemas.microsoft.com/office/drawing/2014/main" id="{B4C2286A-836A-6BED-31BF-719A207608E8}"/>
                </a:ext>
              </a:extLst>
            </xdr:cNvPr>
            <xdr:cNvGraphicFramePr/>
          </xdr:nvGraphicFramePr>
          <xdr:xfrm>
            <a:off x="0" y="0"/>
            <a:ext cx="0" cy="0"/>
          </xdr:xfrm>
          <a:graphic>
            <a:graphicData uri="http://schemas.microsoft.com/office/drawing/2010/slicer">
              <sle:slicer xmlns:sle="http://schemas.microsoft.com/office/drawing/2010/slicer" name="Type Of Products 2"/>
            </a:graphicData>
          </a:graphic>
        </xdr:graphicFrame>
      </mc:Choice>
      <mc:Fallback xmlns="">
        <xdr:sp macro="" textlink="">
          <xdr:nvSpPr>
            <xdr:cNvPr id="0" name=""/>
            <xdr:cNvSpPr>
              <a:spLocks noTextEdit="1"/>
            </xdr:cNvSpPr>
          </xdr:nvSpPr>
          <xdr:spPr>
            <a:xfrm>
              <a:off x="8940800" y="76136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342900</xdr:colOff>
      <xdr:row>27</xdr:row>
      <xdr:rowOff>120650</xdr:rowOff>
    </xdr:from>
    <xdr:to>
      <xdr:col>13</xdr:col>
      <xdr:colOff>38100</xdr:colOff>
      <xdr:row>40</xdr:row>
      <xdr:rowOff>152400</xdr:rowOff>
    </xdr:to>
    <xdr:graphicFrame macro="">
      <xdr:nvGraphicFramePr>
        <xdr:cNvPr id="14" name="Chart 13">
          <a:extLst>
            <a:ext uri="{FF2B5EF4-FFF2-40B4-BE49-F238E27FC236}">
              <a16:creationId xmlns:a16="http://schemas.microsoft.com/office/drawing/2014/main" id="{54EDD027-6CC1-4F03-A50F-1C5B2E6532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101600</xdr:colOff>
      <xdr:row>41</xdr:row>
      <xdr:rowOff>31750</xdr:rowOff>
    </xdr:from>
    <xdr:to>
      <xdr:col>10</xdr:col>
      <xdr:colOff>101600</xdr:colOff>
      <xdr:row>54</xdr:row>
      <xdr:rowOff>161925</xdr:rowOff>
    </xdr:to>
    <mc:AlternateContent xmlns:mc="http://schemas.openxmlformats.org/markup-compatibility/2006" xmlns:a14="http://schemas.microsoft.com/office/drawing/2010/main">
      <mc:Choice Requires="a14">
        <xdr:graphicFrame macro="">
          <xdr:nvGraphicFramePr>
            <xdr:cNvPr id="5" name="Type Of Products 3">
              <a:extLst>
                <a:ext uri="{FF2B5EF4-FFF2-40B4-BE49-F238E27FC236}">
                  <a16:creationId xmlns:a16="http://schemas.microsoft.com/office/drawing/2014/main" id="{5FD77B7B-8A28-8A41-8823-337752EF9CEE}"/>
                </a:ext>
              </a:extLst>
            </xdr:cNvPr>
            <xdr:cNvGraphicFramePr/>
          </xdr:nvGraphicFramePr>
          <xdr:xfrm>
            <a:off x="0" y="0"/>
            <a:ext cx="0" cy="0"/>
          </xdr:xfrm>
          <a:graphic>
            <a:graphicData uri="http://schemas.microsoft.com/office/drawing/2010/slicer">
              <sle:slicer xmlns:sle="http://schemas.microsoft.com/office/drawing/2010/slicer" name="Type Of Products 3"/>
            </a:graphicData>
          </a:graphic>
        </xdr:graphicFrame>
      </mc:Choice>
      <mc:Fallback xmlns="">
        <xdr:sp macro="" textlink="">
          <xdr:nvSpPr>
            <xdr:cNvPr id="0" name=""/>
            <xdr:cNvSpPr>
              <a:spLocks noTextEdit="1"/>
            </xdr:cNvSpPr>
          </xdr:nvSpPr>
          <xdr:spPr>
            <a:xfrm>
              <a:off x="4368800" y="75819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501650</xdr:colOff>
      <xdr:row>7</xdr:row>
      <xdr:rowOff>152400</xdr:rowOff>
    </xdr:from>
    <xdr:to>
      <xdr:col>11</xdr:col>
      <xdr:colOff>368300</xdr:colOff>
      <xdr:row>13</xdr:row>
      <xdr:rowOff>76200</xdr:rowOff>
    </xdr:to>
    <xdr:sp macro="" textlink="'monetary analysis '!A15">
      <xdr:nvSpPr>
        <xdr:cNvPr id="7" name="Rectangle: Rounded Corners 6">
          <a:extLst>
            <a:ext uri="{FF2B5EF4-FFF2-40B4-BE49-F238E27FC236}">
              <a16:creationId xmlns:a16="http://schemas.microsoft.com/office/drawing/2014/main" id="{BB0FEA06-BF7B-FE30-16FF-9D204C3567B9}"/>
            </a:ext>
          </a:extLst>
        </xdr:cNvPr>
        <xdr:cNvSpPr/>
      </xdr:nvSpPr>
      <xdr:spPr>
        <a:xfrm>
          <a:off x="4768850" y="1441450"/>
          <a:ext cx="2305050" cy="102870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0" i="0" u="none" strike="noStrike">
              <a:solidFill>
                <a:srgbClr val="000000"/>
              </a:solidFill>
              <a:latin typeface="Bahnschrift SemiBold Condensed" panose="020B0502040204020203" pitchFamily="34" charset="0"/>
              <a:cs typeface="Calibri"/>
            </a:rPr>
            <a:t>Average Order Value:</a:t>
          </a:r>
          <a:fld id="{BF27E166-9C3D-4955-847A-57913919C60E}" type="TxLink">
            <a:rPr lang="en-US" sz="1800" b="0" i="0" u="none" strike="noStrike">
              <a:solidFill>
                <a:srgbClr val="000000"/>
              </a:solidFill>
              <a:latin typeface="Bahnschrift SemiBold Condensed" panose="020B0502040204020203" pitchFamily="34" charset="0"/>
              <a:cs typeface="Calibri"/>
            </a:rPr>
            <a:pPr algn="ctr"/>
            <a:t> ₹ 18,845.64 </a:t>
          </a:fld>
          <a:endParaRPr lang="en-US" sz="1800">
            <a:latin typeface="Bahnschrift SemiBold Condensed" panose="020B0502040204020203"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10.xml"/></Relationships>
</file>

<file path=xl/pivotCache/_rels/pivotCacheDefinition11.xml.rels><?xml version="1.0" encoding="UTF-8" standalone="yes"?>
<Relationships xmlns="http://schemas.openxmlformats.org/package/2006/relationships"><Relationship Id="rId1" Type="http://schemas.openxmlformats.org/officeDocument/2006/relationships/pivotCacheRecords" Target="pivotCacheRecords1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50.691632638889" createdVersion="8" refreshedVersion="8" minRefreshableVersion="3" recordCount="200" xr:uid="{4D18089C-55D1-4452-BD66-781E92B7632E}">
  <cacheSource type="worksheet">
    <worksheetSource name="Table1"/>
  </cacheSource>
  <cacheFields count="18">
    <cacheField name="Order ID" numFmtId="0">
      <sharedItems/>
    </cacheField>
    <cacheField name="Order_Date" numFmtId="15">
      <sharedItems containsSemiMixedTypes="0" containsNonDate="0" containsDate="1" containsString="0" minDate="2025-01-12T00:00:00" maxDate="2025-02-01T00:00:00"/>
    </cacheField>
    <cacheField name="Customer ID" numFmtId="0">
      <sharedItems/>
    </cacheField>
    <cacheField name="Product ID" numFmtId="0">
      <sharedItems/>
    </cacheField>
    <cacheField name="Quantity" numFmtId="0">
      <sharedItems containsSemiMixedTypes="0" containsString="0" containsNumber="1" containsInteger="1" minValue="1" maxValue="22"/>
    </cacheField>
    <cacheField name="Unit_Price" numFmtId="165">
      <sharedItems containsSemiMixedTypes="0" containsString="0" containsNumber="1" containsInteger="1" minValue="125" maxValue="245000"/>
    </cacheField>
    <cacheField name="Gross_Sales" numFmtId="165">
      <sharedItems containsSemiMixedTypes="0" containsString="0" containsNumber="1" containsInteger="1" minValue="400" maxValue="550000"/>
    </cacheField>
    <cacheField name="Discount" numFmtId="0">
      <sharedItems containsSemiMixedTypes="0" containsString="0" containsNumber="1" minValue="0" maxValue="0.4"/>
    </cacheField>
    <cacheField name="Discount_Amount" numFmtId="165">
      <sharedItems containsSemiMixedTypes="0" containsString="0" containsNumber="1" minValue="0" maxValue="137500"/>
    </cacheField>
    <cacheField name="Delivery_Charges" numFmtId="165">
      <sharedItems containsSemiMixedTypes="0" containsString="0" containsNumber="1" minValue="160" maxValue="220000"/>
    </cacheField>
    <cacheField name="Net Sales" numFmtId="165">
      <sharedItems containsSemiMixedTypes="0" containsString="0" containsNumber="1" minValue="560" maxValue="632500"/>
    </cacheField>
    <cacheField name="Surplus" numFmtId="165">
      <sharedItems containsSemiMixedTypes="0" containsString="0" containsNumber="1" minValue="0" maxValue="124500"/>
    </cacheField>
    <cacheField name="Customer_Name" numFmtId="165">
      <sharedItems/>
    </cacheField>
    <cacheField name="Order Cateogry" numFmtId="164">
      <sharedItems/>
    </cacheField>
    <cacheField name="Type Of Products" numFmtId="0">
      <sharedItems count="23">
        <s v="Books &amp; Stationeries"/>
        <s v="Cosmetics"/>
        <s v="Confectionaries"/>
        <s v="Electronics"/>
        <s v="Toys"/>
        <s v="Dry Fruits"/>
        <s v="Home and kitchen"/>
        <s v="Beverages"/>
        <s v="Art and collections"/>
        <s v="Apparel"/>
        <s v="Automotive"/>
        <s v="Hardware"/>
        <s v="Sports &amp; Fitness"/>
        <s v="Furniture"/>
        <s v="Health &amp; Beauty"/>
        <s v="Drinkware"/>
        <s v="Pet Supplies"/>
        <s v="Home and Lifestyle "/>
        <s v="Food and Beverages"/>
        <s v="Home &amp; décor"/>
        <s v="Fashion &amp; Acessories"/>
        <s v="Jewelry"/>
        <s v="Home&amp; décor" u="1"/>
      </sharedItems>
    </cacheField>
    <cacheField name="City" numFmtId="0">
      <sharedItems/>
    </cacheField>
    <cacheField name="Payment_Mode" numFmtId="0">
      <sharedItems/>
    </cacheField>
    <cacheField name="Order_status" numFmtId="0">
      <sharedItems count="2">
        <s v="Delivered"/>
        <s v="Pending"/>
      </sharedItems>
    </cacheField>
  </cacheFields>
  <extLst>
    <ext xmlns:x14="http://schemas.microsoft.com/office/spreadsheetml/2009/9/main" uri="{725AE2AE-9491-48be-B2B4-4EB974FC3084}">
      <x14:pivotCacheDefinition pivotCacheId="100689576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50.69163321759" createdVersion="8" refreshedVersion="8" minRefreshableVersion="3" recordCount="200" xr:uid="{104DA76E-247C-4F31-B504-D4E08EC7D694}">
  <cacheSource type="worksheet">
    <worksheetSource name="Table1"/>
  </cacheSource>
  <cacheFields count="18">
    <cacheField name="Order ID" numFmtId="0">
      <sharedItems/>
    </cacheField>
    <cacheField name="Order_Date" numFmtId="15">
      <sharedItems containsSemiMixedTypes="0" containsNonDate="0" containsDate="1" containsString="0" minDate="2025-01-12T00:00:00" maxDate="2025-02-01T00:00:00"/>
    </cacheField>
    <cacheField name="Customer ID" numFmtId="0">
      <sharedItems/>
    </cacheField>
    <cacheField name="Product ID" numFmtId="0">
      <sharedItems/>
    </cacheField>
    <cacheField name="Quantity" numFmtId="0">
      <sharedItems containsSemiMixedTypes="0" containsString="0" containsNumber="1" containsInteger="1" minValue="1" maxValue="22"/>
    </cacheField>
    <cacheField name="Unit_Price" numFmtId="165">
      <sharedItems containsSemiMixedTypes="0" containsString="0" containsNumber="1" containsInteger="1" minValue="125" maxValue="245000"/>
    </cacheField>
    <cacheField name="Gross_Sales" numFmtId="165">
      <sharedItems containsSemiMixedTypes="0" containsString="0" containsNumber="1" containsInteger="1" minValue="400" maxValue="550000"/>
    </cacheField>
    <cacheField name="Discount" numFmtId="0">
      <sharedItems containsSemiMixedTypes="0" containsString="0" containsNumber="1" minValue="0" maxValue="0.4"/>
    </cacheField>
    <cacheField name="Discount_Amount" numFmtId="165">
      <sharedItems containsSemiMixedTypes="0" containsString="0" containsNumber="1" minValue="0" maxValue="137500"/>
    </cacheField>
    <cacheField name="Delivery_Charges" numFmtId="165">
      <sharedItems containsSemiMixedTypes="0" containsString="0" containsNumber="1" minValue="160" maxValue="220000"/>
    </cacheField>
    <cacheField name="Net Sales" numFmtId="165">
      <sharedItems containsSemiMixedTypes="0" containsString="0" containsNumber="1" minValue="560" maxValue="632500"/>
    </cacheField>
    <cacheField name="Surplus" numFmtId="165">
      <sharedItems containsSemiMixedTypes="0" containsString="0" containsNumber="1" minValue="0" maxValue="124500"/>
    </cacheField>
    <cacheField name="Customer_Name" numFmtId="165">
      <sharedItems/>
    </cacheField>
    <cacheField name="Order Cateogry" numFmtId="164">
      <sharedItems/>
    </cacheField>
    <cacheField name="Type Of Products" numFmtId="0">
      <sharedItems count="23">
        <s v="Books &amp; Stationeries"/>
        <s v="Cosmetics"/>
        <s v="Confectionaries"/>
        <s v="Electronics"/>
        <s v="Toys"/>
        <s v="Dry Fruits"/>
        <s v="Home and kitchen"/>
        <s v="Beverages"/>
        <s v="Art and collections"/>
        <s v="Apparel"/>
        <s v="Automotive"/>
        <s v="Hardware"/>
        <s v="Sports &amp; Fitness"/>
        <s v="Furniture"/>
        <s v="Health &amp; Beauty"/>
        <s v="Drinkware"/>
        <s v="Pet Supplies"/>
        <s v="Home and Lifestyle "/>
        <s v="Food and Beverages"/>
        <s v="Home &amp; décor"/>
        <s v="Fashion &amp; Acessories"/>
        <s v="Jewelry"/>
        <s v="Home&amp; décor" u="1"/>
      </sharedItems>
    </cacheField>
    <cacheField name="City" numFmtId="0">
      <sharedItems/>
    </cacheField>
    <cacheField name="Payment_Mode" numFmtId="0">
      <sharedItems/>
    </cacheField>
    <cacheField name="Order_status" numFmtId="0">
      <sharedItems count="2">
        <s v="Delivered"/>
        <s v="Pending"/>
      </sharedItems>
    </cacheField>
  </cacheFields>
  <extLst>
    <ext xmlns:x14="http://schemas.microsoft.com/office/spreadsheetml/2009/9/main" uri="{725AE2AE-9491-48be-B2B4-4EB974FC3084}">
      <x14:pivotCacheDefinition pivotCacheId="1149308864"/>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50.691633680559" createdVersion="8" refreshedVersion="8" minRefreshableVersion="3" recordCount="200" xr:uid="{520D6896-447A-45BF-AFEA-20145FADA902}">
  <cacheSource type="worksheet">
    <worksheetSource name="Table1"/>
  </cacheSource>
  <cacheFields count="18">
    <cacheField name="Order ID" numFmtId="0">
      <sharedItems count="200">
        <s v="ORD1001"/>
        <s v="ORD1002"/>
        <s v="ORD1003"/>
        <s v="ORD1004"/>
        <s v="ORD1005"/>
        <s v="ORD1006"/>
        <s v="ORD1007"/>
        <s v="ORD1008"/>
        <s v="ORD1009"/>
        <s v="ORD1010"/>
        <s v="ORD1011"/>
        <s v="ORD1012"/>
        <s v="ORD1013"/>
        <s v="ORD1014"/>
        <s v="ORD1015"/>
        <s v="ORD1016"/>
        <s v="ORD1017"/>
        <s v="ORD1018"/>
        <s v="ORD1019"/>
        <s v="ORD1020"/>
        <s v="ORD1021"/>
        <s v="ORD1022"/>
        <s v="ORD1023"/>
        <s v="ORD1024"/>
        <s v="ORD1025"/>
        <s v="ORD1026"/>
        <s v="ORD1027"/>
        <s v="ORD1028"/>
        <s v="ORD1029"/>
        <s v="ORD1030"/>
        <s v="ORD1031"/>
        <s v="ORD1032"/>
        <s v="ORD1033"/>
        <s v="ORD1034"/>
        <s v="ORD1035"/>
        <s v="ORD1036"/>
        <s v="ORD1037"/>
        <s v="ORD1038"/>
        <s v="ORD1039"/>
        <s v="ORD1040"/>
        <s v="ORD1041"/>
        <s v="ORD1042"/>
        <s v="ORD1043"/>
        <s v="ORD1044"/>
        <s v="ORD1045"/>
        <s v="ORD1046"/>
        <s v="ORD1047"/>
        <s v="ORD1048"/>
        <s v="ORD1049"/>
        <s v="ORD1050"/>
        <s v="ORD1051"/>
        <s v="ORD1052"/>
        <s v="ORD1053"/>
        <s v="ORD1054"/>
        <s v="ORD1055"/>
        <s v="ORD1056"/>
        <s v="ORD1057"/>
        <s v="ORD1058"/>
        <s v="ORD1059"/>
        <s v="ORD1060"/>
        <s v="ORD1061"/>
        <s v="ORD1062"/>
        <s v="ORD1063"/>
        <s v="ORD1064"/>
        <s v="ORD1065"/>
        <s v="ORD1066"/>
        <s v="ORD1067"/>
        <s v="ORD1068"/>
        <s v="ORD1069"/>
        <s v="ORD1070"/>
        <s v="ORD1071"/>
        <s v="ORD1072"/>
        <s v="ORD1073"/>
        <s v="ORD1074"/>
        <s v="ORD1075"/>
        <s v="ORD1076"/>
        <s v="ORD1077"/>
        <s v="ORD1078"/>
        <s v="ORD1079"/>
        <s v="ORD1080"/>
        <s v="ORD1081"/>
        <s v="ORD1082"/>
        <s v="ORD1083"/>
        <s v="ORD1084"/>
        <s v="ORD1085"/>
        <s v="ORD1086"/>
        <s v="ORD1087"/>
        <s v="ORD1088"/>
        <s v="ORD1089"/>
        <s v="ORD1090"/>
        <s v="ORD1091"/>
        <s v="ORD1092"/>
        <s v="ORD1093"/>
        <s v="ORD1094"/>
        <s v="ORD1095"/>
        <s v="ORD1096"/>
        <s v="ORD1097"/>
        <s v="ORD1098"/>
        <s v="ORD1099"/>
        <s v="ORD1100"/>
        <s v="ORD1101"/>
        <s v="ORD1102"/>
        <s v="ORD1103"/>
        <s v="ORD1104"/>
        <s v="ORD1105"/>
        <s v="ORD1106"/>
        <s v="ORD1107"/>
        <s v="ORD1108"/>
        <s v="ORD1109"/>
        <s v="ORD1110"/>
        <s v="ORD1111"/>
        <s v="ORD1112"/>
        <s v="ORD1113"/>
        <s v="ORD1114"/>
        <s v="ORD1115"/>
        <s v="ORD1116"/>
        <s v="ORD1117"/>
        <s v="ORD1118"/>
        <s v="ORD1119"/>
        <s v="ORD1120"/>
        <s v="ORD1121"/>
        <s v="ORD1122"/>
        <s v="ORD1123"/>
        <s v="ORD1124"/>
        <s v="ORD1125"/>
        <s v="ORD1126"/>
        <s v="ORD1127"/>
        <s v="ORD1128"/>
        <s v="ORD1129"/>
        <s v="ORD1130"/>
        <s v="ORD1131"/>
        <s v="ORD1132"/>
        <s v="ORD1133"/>
        <s v="ORD1134"/>
        <s v="ORD1135"/>
        <s v="ORD1136"/>
        <s v="ORD1137"/>
        <s v="ORD1138"/>
        <s v="ORD1139"/>
        <s v="ORD1140"/>
        <s v="ORD1141"/>
        <s v="ORD1142"/>
        <s v="ORD1143"/>
        <s v="ORD1144"/>
        <s v="ORD1145"/>
        <s v="ORD1146"/>
        <s v="ORD1147"/>
        <s v="ORD1148"/>
        <s v="ORD1149"/>
        <s v="ORD1150"/>
        <s v="ORD1151"/>
        <s v="ORD1152"/>
        <s v="ORD1153"/>
        <s v="ORD1154"/>
        <s v="ORD1155"/>
        <s v="ORD1156"/>
        <s v="ORD1157"/>
        <s v="ORD1158"/>
        <s v="ORD1159"/>
        <s v="ORD1160"/>
        <s v="ORD1161"/>
        <s v="ORD1162"/>
        <s v="ORD1163"/>
        <s v="ORD1164"/>
        <s v="ORD1165"/>
        <s v="ORD1166"/>
        <s v="ORD1167"/>
        <s v="ORD1168"/>
        <s v="ORD1169"/>
        <s v="ORD1170"/>
        <s v="ORD1171"/>
        <s v="ORD1172"/>
        <s v="ORD1173"/>
        <s v="ORD1174"/>
        <s v="ORD1175"/>
        <s v="ORD1176"/>
        <s v="ORD1177"/>
        <s v="ORD1178"/>
        <s v="ORD1179"/>
        <s v="ORD1180"/>
        <s v="ORD1181"/>
        <s v="ORD1182"/>
        <s v="ORD1183"/>
        <s v="ORD1184"/>
        <s v="ORD1185"/>
        <s v="ORD1186"/>
        <s v="ORD1187"/>
        <s v="ORD1188"/>
        <s v="ORD1189"/>
        <s v="ORD1190"/>
        <s v="ORD1191"/>
        <s v="ORD1192"/>
        <s v="ORD1193"/>
        <s v="ORD1194"/>
        <s v="ORD1195"/>
        <s v="ORD1196"/>
        <s v="ORD1197"/>
        <s v="ORD1198"/>
        <s v="ORD1199"/>
        <s v="ORD1200"/>
      </sharedItems>
    </cacheField>
    <cacheField name="Order_Date" numFmtId="15">
      <sharedItems containsSemiMixedTypes="0" containsNonDate="0" containsDate="1" containsString="0" minDate="2025-01-12T00:00:00" maxDate="2025-02-01T00:00:00"/>
    </cacheField>
    <cacheField name="Customer ID" numFmtId="0">
      <sharedItems/>
    </cacheField>
    <cacheField name="Product ID" numFmtId="0">
      <sharedItems/>
    </cacheField>
    <cacheField name="Quantity" numFmtId="0">
      <sharedItems containsSemiMixedTypes="0" containsString="0" containsNumber="1" containsInteger="1" minValue="1" maxValue="22"/>
    </cacheField>
    <cacheField name="Unit_Price" numFmtId="165">
      <sharedItems containsSemiMixedTypes="0" containsString="0" containsNumber="1" containsInteger="1" minValue="125" maxValue="245000"/>
    </cacheField>
    <cacheField name="Gross_Sales" numFmtId="165">
      <sharedItems containsSemiMixedTypes="0" containsString="0" containsNumber="1" containsInteger="1" minValue="400" maxValue="550000"/>
    </cacheField>
    <cacheField name="Discount" numFmtId="0">
      <sharedItems containsSemiMixedTypes="0" containsString="0" containsNumber="1" minValue="0" maxValue="0.4"/>
    </cacheField>
    <cacheField name="Discount_Amount" numFmtId="165">
      <sharedItems containsSemiMixedTypes="0" containsString="0" containsNumber="1" minValue="0" maxValue="137500"/>
    </cacheField>
    <cacheField name="Delivery_Charges" numFmtId="165">
      <sharedItems containsSemiMixedTypes="0" containsString="0" containsNumber="1" minValue="160" maxValue="220000"/>
    </cacheField>
    <cacheField name="Net Sales" numFmtId="165">
      <sharedItems containsSemiMixedTypes="0" containsString="0" containsNumber="1" minValue="560" maxValue="632500"/>
    </cacheField>
    <cacheField name="Surplus" numFmtId="165">
      <sharedItems containsSemiMixedTypes="0" containsString="0" containsNumber="1" minValue="0" maxValue="124500"/>
    </cacheField>
    <cacheField name="Customer_Name" numFmtId="165">
      <sharedItems/>
    </cacheField>
    <cacheField name="Order Cateogry" numFmtId="164">
      <sharedItems/>
    </cacheField>
    <cacheField name="Type Of Products" numFmtId="0">
      <sharedItems/>
    </cacheField>
    <cacheField name="City" numFmtId="0">
      <sharedItems/>
    </cacheField>
    <cacheField name="Payment_Mode" numFmtId="0">
      <sharedItems count="6">
        <s v="Credit Card"/>
        <s v="UPI"/>
        <s v="Cash on delivery"/>
        <s v="Buy Now Pay later"/>
        <s v="EMI "/>
        <s v="No Cost EMI"/>
      </sharedItems>
    </cacheField>
    <cacheField name="Order_status" numFmtId="0">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50.691634490744" createdVersion="8" refreshedVersion="8" minRefreshableVersion="3" recordCount="200" xr:uid="{EBB9FFF1-0CC6-4AEF-BD83-10A472ACF662}">
  <cacheSource type="worksheet">
    <worksheetSource name="Table4"/>
  </cacheSource>
  <cacheFields count="13">
    <cacheField name="Customer ID" numFmtId="0">
      <sharedItems/>
    </cacheField>
    <cacheField name="Product ID " numFmtId="0">
      <sharedItems/>
    </cacheField>
    <cacheField name="Product purchased" numFmtId="0">
      <sharedItems/>
    </cacheField>
    <cacheField name="type of Product" numFmtId="0">
      <sharedItems/>
    </cacheField>
    <cacheField name="Quantity" numFmtId="0">
      <sharedItems containsSemiMixedTypes="0" containsString="0" containsNumber="1" containsInteger="1" minValue="1" maxValue="22"/>
    </cacheField>
    <cacheField name="Total amount" numFmtId="165">
      <sharedItems containsSemiMixedTypes="0" containsString="0" containsNumber="1" minValue="560" maxValue="632500"/>
    </cacheField>
    <cacheField name="Customer_Name" numFmtId="0">
      <sharedItems/>
    </cacheField>
    <cacheField name="City" numFmtId="0">
      <sharedItems/>
    </cacheField>
    <cacheField name="State" numFmtId="0">
      <sharedItems/>
    </cacheField>
    <cacheField name="Age" numFmtId="0">
      <sharedItems containsSemiMixedTypes="0" containsString="0" containsNumber="1" containsInteger="1" minValue="15" maxValue="66"/>
    </cacheField>
    <cacheField name="Customer_Segment" numFmtId="0">
      <sharedItems count="3">
        <s v="student"/>
        <s v="working adults"/>
        <s v="Senior Citizen"/>
      </sharedItems>
    </cacheField>
    <cacheField name="Order Status" numFmtId="0">
      <sharedItems/>
    </cacheField>
    <cacheField name="Mode Of Payment" numFmtId="0">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50.691635300929" createdVersion="8" refreshedVersion="8" minRefreshableVersion="3" recordCount="200" xr:uid="{5F9908AA-E188-4293-B629-D439D905AB77}">
  <cacheSource type="worksheet">
    <worksheetSource name="Table4"/>
  </cacheSource>
  <cacheFields count="13">
    <cacheField name="Customer ID" numFmtId="0">
      <sharedItems/>
    </cacheField>
    <cacheField name="Product ID " numFmtId="0">
      <sharedItems/>
    </cacheField>
    <cacheField name="Product purchased" numFmtId="0">
      <sharedItems/>
    </cacheField>
    <cacheField name="type of Product" numFmtId="0">
      <sharedItems/>
    </cacheField>
    <cacheField name="Quantity" numFmtId="0">
      <sharedItems containsSemiMixedTypes="0" containsString="0" containsNumber="1" containsInteger="1" minValue="1" maxValue="22"/>
    </cacheField>
    <cacheField name="Total amount" numFmtId="165">
      <sharedItems containsSemiMixedTypes="0" containsString="0" containsNumber="1" minValue="560" maxValue="632500"/>
    </cacheField>
    <cacheField name="Customer_Name" numFmtId="0">
      <sharedItems/>
    </cacheField>
    <cacheField name="City" numFmtId="0">
      <sharedItems/>
    </cacheField>
    <cacheField name="State" numFmtId="0">
      <sharedItems count="18">
        <s v="Tripura"/>
        <s v="Uttar Pradesh"/>
        <s v="Gujrat"/>
        <s v="Mizoram"/>
        <s v="Rajasthan"/>
        <s v="Andhra Pradesh"/>
        <s v="Punjab"/>
        <s v="Maharashtra"/>
        <s v="Karnataka"/>
        <s v="Tamil Nadu"/>
        <s v="Uttarakhand"/>
        <s v="Himachal Pradesh"/>
        <s v="Haryana"/>
        <s v="West Bengal"/>
        <s v="Delhi"/>
        <s v="Kerala"/>
        <s v="Bihar"/>
        <s v="Jammu &amp; Kashmir"/>
      </sharedItems>
    </cacheField>
    <cacheField name="Age" numFmtId="0">
      <sharedItems containsSemiMixedTypes="0" containsString="0" containsNumber="1" containsInteger="1" minValue="15" maxValue="66"/>
    </cacheField>
    <cacheField name="Customer_Segment" numFmtId="0">
      <sharedItems/>
    </cacheField>
    <cacheField name="Order Status" numFmtId="0">
      <sharedItems/>
    </cacheField>
    <cacheField name="Mode Of Payment" numFmtId="0">
      <sharedItems/>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50.691636111114" createdVersion="8" refreshedVersion="8" minRefreshableVersion="3" recordCount="200" xr:uid="{2B4FD967-EAAD-49E6-8DEF-8DD3EE5A0A40}">
  <cacheSource type="worksheet">
    <worksheetSource name="Table4"/>
  </cacheSource>
  <cacheFields count="13">
    <cacheField name="Customer ID" numFmtId="0">
      <sharedItems/>
    </cacheField>
    <cacheField name="Product ID " numFmtId="0">
      <sharedItems/>
    </cacheField>
    <cacheField name="Product purchased" numFmtId="0">
      <sharedItems/>
    </cacheField>
    <cacheField name="type of Product" numFmtId="0">
      <sharedItems/>
    </cacheField>
    <cacheField name="Quantity" numFmtId="0">
      <sharedItems containsSemiMixedTypes="0" containsString="0" containsNumber="1" containsInteger="1" minValue="1" maxValue="22"/>
    </cacheField>
    <cacheField name="Total amount" numFmtId="165">
      <sharedItems containsSemiMixedTypes="0" containsString="0" containsNumber="1" minValue="560" maxValue="632500"/>
    </cacheField>
    <cacheField name="Customer_Name" numFmtId="0">
      <sharedItems/>
    </cacheField>
    <cacheField name="City" numFmtId="0">
      <sharedItems/>
    </cacheField>
    <cacheField name="State" numFmtId="0">
      <sharedItems count="18">
        <s v="Tripura"/>
        <s v="Uttar Pradesh"/>
        <s v="Gujrat"/>
        <s v="Mizoram"/>
        <s v="Rajasthan"/>
        <s v="Andhra Pradesh"/>
        <s v="Punjab"/>
        <s v="Maharashtra"/>
        <s v="Karnataka"/>
        <s v="Tamil Nadu"/>
        <s v="Uttarakhand"/>
        <s v="Himachal Pradesh"/>
        <s v="Haryana"/>
        <s v="West Bengal"/>
        <s v="Delhi"/>
        <s v="Kerala"/>
        <s v="Bihar"/>
        <s v="Jammu &amp; Kashmir"/>
      </sharedItems>
    </cacheField>
    <cacheField name="Age" numFmtId="0">
      <sharedItems containsSemiMixedTypes="0" containsString="0" containsNumber="1" containsInteger="1" minValue="15" maxValue="66"/>
    </cacheField>
    <cacheField name="Customer_Segment" numFmtId="0">
      <sharedItems count="3">
        <s v="student"/>
        <s v="working adults"/>
        <s v="Senior Citizen"/>
      </sharedItems>
    </cacheField>
    <cacheField name="Order Status" numFmtId="0">
      <sharedItems/>
    </cacheField>
    <cacheField name="Mode Of Payment" numFmtId="0">
      <sharedItems count="6">
        <s v="Credit Card"/>
        <s v="UPI"/>
        <s v="Cash on delivery"/>
        <s v="Buy Now Pay later"/>
        <s v="EMI "/>
        <s v="No Cost EMI"/>
      </sharedItems>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50.691636805554" createdVersion="8" refreshedVersion="8" minRefreshableVersion="3" recordCount="200" xr:uid="{D8324FC3-BF18-46F0-82D2-C2493E758065}">
  <cacheSource type="worksheet">
    <worksheetSource name="Table4"/>
  </cacheSource>
  <cacheFields count="13">
    <cacheField name="Customer ID" numFmtId="0">
      <sharedItems/>
    </cacheField>
    <cacheField name="Product ID " numFmtId="0">
      <sharedItems/>
    </cacheField>
    <cacheField name="Product purchased" numFmtId="0">
      <sharedItems/>
    </cacheField>
    <cacheField name="type of Product" numFmtId="0">
      <sharedItems count="23">
        <s v="Books &amp; Stationeries"/>
        <s v="Cosmetics"/>
        <s v="Confectionaries"/>
        <s v="Electronics"/>
        <s v="Toys"/>
        <s v="Dry Fruits"/>
        <s v="Home and kitchen"/>
        <s v="Beverages"/>
        <s v="Art and collections"/>
        <s v="Apparel"/>
        <s v="Automotive"/>
        <s v="Hardware"/>
        <s v="Sports &amp; Fitness"/>
        <s v="Furniture"/>
        <s v="Health &amp; Beauty"/>
        <s v="Drinkware"/>
        <s v="Pet Supplies"/>
        <s v="Home and Lifestyle "/>
        <s v="Food and Beverages"/>
        <s v="Home &amp; décor"/>
        <s v="Fashion &amp; Acessories"/>
        <s v="Jewelry"/>
        <s v="Home&amp; décor" u="1"/>
      </sharedItems>
    </cacheField>
    <cacheField name="Quantity" numFmtId="0">
      <sharedItems containsSemiMixedTypes="0" containsString="0" containsNumber="1" containsInteger="1" minValue="1" maxValue="22"/>
    </cacheField>
    <cacheField name="Total amount" numFmtId="165">
      <sharedItems containsSemiMixedTypes="0" containsString="0" containsNumber="1" minValue="560" maxValue="632500"/>
    </cacheField>
    <cacheField name="Customer_Name" numFmtId="0">
      <sharedItems/>
    </cacheField>
    <cacheField name="City" numFmtId="0">
      <sharedItems count="51">
        <s v="Agartala"/>
        <s v="Agra"/>
        <s v="Ahmedabad"/>
        <s v="Aizawl"/>
        <s v="Ajmer"/>
        <s v="Aligarh "/>
        <s v="Amravati"/>
        <s v="Amritsar"/>
        <s v="Aurangabad"/>
        <s v="Bangalore"/>
        <s v="Bareilly"/>
        <s v="Chandigarh"/>
        <s v="Chennai"/>
        <s v="Coimbatore"/>
        <s v="Dehradun"/>
        <s v="Dharamshala"/>
        <s v="Faridabad"/>
        <s v="Kanpur"/>
        <s v="Gurugram"/>
        <s v="Kolkata"/>
        <s v="Rohtak"/>
        <s v="Jind"/>
        <s v="Delhi"/>
        <s v="Kochi"/>
        <s v="Lavasa"/>
        <s v="Ludhiana"/>
        <s v="Noida"/>
        <s v="Meerut"/>
        <s v="Patna"/>
        <s v="Mumbai"/>
        <s v="Ghaziabad"/>
        <s v="Pune"/>
        <s v="Jammu"/>
        <s v="Karnal"/>
        <s v="Jaipur"/>
        <s v="Surat"/>
        <s v="Varanasi"/>
        <s v="Vishakhapatnam"/>
        <s v="Ayodhya"/>
        <s v="Vizag"/>
        <s v="Kannauj"/>
        <s v="Sonipat"/>
        <s v="Panipat"/>
        <s v="Baghpat"/>
        <s v="Srinagar"/>
        <s v="Gorakhpur"/>
        <s v="Lucknow"/>
        <s v="Nashik"/>
        <s v="Vadodra"/>
        <s v="Nangloi"/>
        <s v="Hampi"/>
      </sharedItems>
    </cacheField>
    <cacheField name="State" numFmtId="0">
      <sharedItems count="18">
        <s v="Tripura"/>
        <s v="Uttar Pradesh"/>
        <s v="Gujrat"/>
        <s v="Mizoram"/>
        <s v="Rajasthan"/>
        <s v="Andhra Pradesh"/>
        <s v="Punjab"/>
        <s v="Maharashtra"/>
        <s v="Karnataka"/>
        <s v="Tamil Nadu"/>
        <s v="Uttarakhand"/>
        <s v="Himachal Pradesh"/>
        <s v="Haryana"/>
        <s v="West Bengal"/>
        <s v="Delhi"/>
        <s v="Kerala"/>
        <s v="Bihar"/>
        <s v="Jammu &amp; Kashmir"/>
      </sharedItems>
    </cacheField>
    <cacheField name="Age" numFmtId="0">
      <sharedItems containsSemiMixedTypes="0" containsString="0" containsNumber="1" containsInteger="1" minValue="15" maxValue="66"/>
    </cacheField>
    <cacheField name="Customer_Segment" numFmtId="0">
      <sharedItems/>
    </cacheField>
    <cacheField name="Order Status" numFmtId="0">
      <sharedItems/>
    </cacheField>
    <cacheField name="Mode Of Payment" numFmtId="0">
      <sharedItems/>
    </cacheField>
  </cacheFields>
  <extLst>
    <ext xmlns:x14="http://schemas.microsoft.com/office/spreadsheetml/2009/9/main" uri="{725AE2AE-9491-48be-B2B4-4EB974FC3084}">
      <x14:pivotCacheDefinition pivotCacheId="1029288047"/>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50.691638194447" createdVersion="8" refreshedVersion="8" minRefreshableVersion="3" recordCount="200" xr:uid="{A7E78DD6-FABE-41C5-9B3E-D425332B6742}">
  <cacheSource type="worksheet">
    <worksheetSource name="Table1"/>
  </cacheSource>
  <cacheFields count="18">
    <cacheField name="Order ID" numFmtId="0">
      <sharedItems/>
    </cacheField>
    <cacheField name="Order_Date" numFmtId="15">
      <sharedItems containsSemiMixedTypes="0" containsNonDate="0" containsDate="1" containsString="0" minDate="2025-01-12T00:00:00" maxDate="2025-02-01T00:00:00"/>
    </cacheField>
    <cacheField name="Customer ID" numFmtId="0">
      <sharedItems/>
    </cacheField>
    <cacheField name="Product ID" numFmtId="0">
      <sharedItems/>
    </cacheField>
    <cacheField name="Quantity" numFmtId="0">
      <sharedItems containsSemiMixedTypes="0" containsString="0" containsNumber="1" containsInteger="1" minValue="1" maxValue="22"/>
    </cacheField>
    <cacheField name="Unit_Price" numFmtId="165">
      <sharedItems containsSemiMixedTypes="0" containsString="0" containsNumber="1" containsInteger="1" minValue="125" maxValue="245000"/>
    </cacheField>
    <cacheField name="Gross_Sales" numFmtId="165">
      <sharedItems containsSemiMixedTypes="0" containsString="0" containsNumber="1" containsInteger="1" minValue="400" maxValue="550000"/>
    </cacheField>
    <cacheField name="Discount" numFmtId="0">
      <sharedItems containsSemiMixedTypes="0" containsString="0" containsNumber="1" minValue="0" maxValue="0.4"/>
    </cacheField>
    <cacheField name="Discount_Amount" numFmtId="165">
      <sharedItems containsSemiMixedTypes="0" containsString="0" containsNumber="1" minValue="0" maxValue="137500"/>
    </cacheField>
    <cacheField name="Delivery_Charges" numFmtId="165">
      <sharedItems containsSemiMixedTypes="0" containsString="0" containsNumber="1" minValue="160" maxValue="220000"/>
    </cacheField>
    <cacheField name="Net Sales" numFmtId="165">
      <sharedItems containsSemiMixedTypes="0" containsString="0" containsNumber="1" minValue="560" maxValue="632500"/>
    </cacheField>
    <cacheField name="Surplus" numFmtId="165">
      <sharedItems containsSemiMixedTypes="0" containsString="0" containsNumber="1" minValue="0" maxValue="124500"/>
    </cacheField>
    <cacheField name="Customer_Name" numFmtId="165">
      <sharedItems/>
    </cacheField>
    <cacheField name="Order Cateogry" numFmtId="164">
      <sharedItems count="6">
        <s v="Micro"/>
        <s v="Medium"/>
        <s v="Large"/>
        <s v="Small"/>
        <s v="Industrial"/>
        <s v="Wholesale"/>
      </sharedItems>
    </cacheField>
    <cacheField name="Type Of Products" numFmtId="0">
      <sharedItems count="23">
        <s v="Books &amp; Stationeries"/>
        <s v="Cosmetics"/>
        <s v="Confectionaries"/>
        <s v="Electronics"/>
        <s v="Toys"/>
        <s v="Dry Fruits"/>
        <s v="Home and kitchen"/>
        <s v="Beverages"/>
        <s v="Art and collections"/>
        <s v="Apparel"/>
        <s v="Automotive"/>
        <s v="Hardware"/>
        <s v="Sports &amp; Fitness"/>
        <s v="Furniture"/>
        <s v="Health &amp; Beauty"/>
        <s v="Drinkware"/>
        <s v="Pet Supplies"/>
        <s v="Home and Lifestyle "/>
        <s v="Food and Beverages"/>
        <s v="Home &amp; décor"/>
        <s v="Fashion &amp; Acessories"/>
        <s v="Jewelry"/>
        <s v="Home&amp; décor" u="1"/>
      </sharedItems>
    </cacheField>
    <cacheField name="City" numFmtId="0">
      <sharedItems/>
    </cacheField>
    <cacheField name="Payment_Mode" numFmtId="0">
      <sharedItems count="6">
        <s v="Credit Card"/>
        <s v="UPI"/>
        <s v="Cash on delivery"/>
        <s v="Buy Now Pay later"/>
        <s v="EMI "/>
        <s v="No Cost EMI"/>
      </sharedItems>
    </cacheField>
    <cacheField name="Order_status" numFmtId="0">
      <sharedItems count="2">
        <s v="Delivered"/>
        <s v="Pending"/>
      </sharedItems>
    </cacheField>
  </cacheFields>
  <extLst>
    <ext xmlns:x14="http://schemas.microsoft.com/office/spreadsheetml/2009/9/main" uri="{725AE2AE-9491-48be-B2B4-4EB974FC3084}">
      <x14:pivotCacheDefinition pivotCacheId="1084187925"/>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50.691639351855" createdVersion="8" refreshedVersion="8" minRefreshableVersion="3" recordCount="200" xr:uid="{CCAB394E-32A5-4BBF-8EF3-892D9B67852E}">
  <cacheSource type="worksheet">
    <worksheetSource name="Table1"/>
  </cacheSource>
  <cacheFields count="18">
    <cacheField name="Order ID" numFmtId="0">
      <sharedItems/>
    </cacheField>
    <cacheField name="Order_Date" numFmtId="15">
      <sharedItems containsSemiMixedTypes="0" containsNonDate="0" containsDate="1" containsString="0" minDate="2025-01-12T00:00:00" maxDate="2025-02-01T00:00:00"/>
    </cacheField>
    <cacheField name="Customer ID" numFmtId="0">
      <sharedItems/>
    </cacheField>
    <cacheField name="Product ID" numFmtId="0">
      <sharedItems/>
    </cacheField>
    <cacheField name="Quantity" numFmtId="0">
      <sharedItems containsSemiMixedTypes="0" containsString="0" containsNumber="1" containsInteger="1" minValue="1" maxValue="22"/>
    </cacheField>
    <cacheField name="Unit_Price" numFmtId="165">
      <sharedItems containsSemiMixedTypes="0" containsString="0" containsNumber="1" containsInteger="1" minValue="125" maxValue="245000"/>
    </cacheField>
    <cacheField name="Gross_Sales" numFmtId="165">
      <sharedItems containsSemiMixedTypes="0" containsString="0" containsNumber="1" containsInteger="1" minValue="400" maxValue="550000"/>
    </cacheField>
    <cacheField name="Discount" numFmtId="0">
      <sharedItems containsSemiMixedTypes="0" containsString="0" containsNumber="1" minValue="0" maxValue="0.4"/>
    </cacheField>
    <cacheField name="Discount_Amount" numFmtId="165">
      <sharedItems containsSemiMixedTypes="0" containsString="0" containsNumber="1" minValue="0" maxValue="137500"/>
    </cacheField>
    <cacheField name="Delivery_Charges" numFmtId="165">
      <sharedItems containsSemiMixedTypes="0" containsString="0" containsNumber="1" minValue="160" maxValue="220000"/>
    </cacheField>
    <cacheField name="Net Sales" numFmtId="165">
      <sharedItems containsSemiMixedTypes="0" containsString="0" containsNumber="1" minValue="560" maxValue="632500"/>
    </cacheField>
    <cacheField name="Surplus" numFmtId="165">
      <sharedItems containsSemiMixedTypes="0" containsString="0" containsNumber="1" minValue="0" maxValue="124500"/>
    </cacheField>
    <cacheField name="Customer_Name" numFmtId="165">
      <sharedItems/>
    </cacheField>
    <cacheField name="Order Cateogry" numFmtId="164">
      <sharedItems count="6">
        <s v="Micro"/>
        <s v="Medium"/>
        <s v="Large"/>
        <s v="Small"/>
        <s v="Industrial"/>
        <s v="Wholesale"/>
      </sharedItems>
    </cacheField>
    <cacheField name="Type Of Products" numFmtId="0">
      <sharedItems count="23">
        <s v="Books &amp; Stationeries"/>
        <s v="Cosmetics"/>
        <s v="Confectionaries"/>
        <s v="Electronics"/>
        <s v="Toys"/>
        <s v="Dry Fruits"/>
        <s v="Home and kitchen"/>
        <s v="Beverages"/>
        <s v="Art and collections"/>
        <s v="Apparel"/>
        <s v="Automotive"/>
        <s v="Hardware"/>
        <s v="Sports &amp; Fitness"/>
        <s v="Furniture"/>
        <s v="Health &amp; Beauty"/>
        <s v="Drinkware"/>
        <s v="Pet Supplies"/>
        <s v="Home and Lifestyle "/>
        <s v="Food and Beverages"/>
        <s v="Home &amp; décor"/>
        <s v="Fashion &amp; Acessories"/>
        <s v="Jewelry"/>
        <s v="Home&amp; décor" u="1"/>
      </sharedItems>
    </cacheField>
    <cacheField name="City" numFmtId="0">
      <sharedItems/>
    </cacheField>
    <cacheField name="Payment_Mode" numFmtId="0">
      <sharedItems/>
    </cacheField>
    <cacheField name="Order_status" numFmtId="0">
      <sharedItems count="2">
        <s v="Delivered"/>
        <s v="Pending"/>
      </sharedItems>
    </cacheField>
  </cacheFields>
  <extLst>
    <ext xmlns:x14="http://schemas.microsoft.com/office/spreadsheetml/2009/9/main" uri="{725AE2AE-9491-48be-B2B4-4EB974FC3084}">
      <x14:pivotCacheDefinition pivotCacheId="22070977"/>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50.69164016204" createdVersion="8" refreshedVersion="8" minRefreshableVersion="3" recordCount="200" xr:uid="{CC80DF46-4301-426C-AE45-0ADCD7DCF4AC}">
  <cacheSource type="worksheet">
    <worksheetSource name="Table1"/>
  </cacheSource>
  <cacheFields count="18">
    <cacheField name="Order ID" numFmtId="0">
      <sharedItems/>
    </cacheField>
    <cacheField name="Order_Date" numFmtId="15">
      <sharedItems containsSemiMixedTypes="0" containsNonDate="0" containsDate="1" containsString="0" minDate="2025-01-12T00:00:00" maxDate="2025-02-01T00:00:00"/>
    </cacheField>
    <cacheField name="Customer ID" numFmtId="0">
      <sharedItems/>
    </cacheField>
    <cacheField name="Product ID" numFmtId="0">
      <sharedItems/>
    </cacheField>
    <cacheField name="Quantity" numFmtId="0">
      <sharedItems containsSemiMixedTypes="0" containsString="0" containsNumber="1" containsInteger="1" minValue="1" maxValue="22"/>
    </cacheField>
    <cacheField name="Unit_Price" numFmtId="165">
      <sharedItems containsSemiMixedTypes="0" containsString="0" containsNumber="1" containsInteger="1" minValue="125" maxValue="245000"/>
    </cacheField>
    <cacheField name="Gross_Sales" numFmtId="165">
      <sharedItems containsSemiMixedTypes="0" containsString="0" containsNumber="1" containsInteger="1" minValue="400" maxValue="550000"/>
    </cacheField>
    <cacheField name="Discount" numFmtId="0">
      <sharedItems containsSemiMixedTypes="0" containsString="0" containsNumber="1" minValue="0" maxValue="0.4"/>
    </cacheField>
    <cacheField name="Discount_Amount" numFmtId="165">
      <sharedItems containsSemiMixedTypes="0" containsString="0" containsNumber="1" minValue="0" maxValue="137500"/>
    </cacheField>
    <cacheField name="Delivery_Charges" numFmtId="165">
      <sharedItems containsSemiMixedTypes="0" containsString="0" containsNumber="1" minValue="160" maxValue="220000"/>
    </cacheField>
    <cacheField name="Net Sales" numFmtId="165">
      <sharedItems containsSemiMixedTypes="0" containsString="0" containsNumber="1" minValue="560" maxValue="632500"/>
    </cacheField>
    <cacheField name="Surplus" numFmtId="165">
      <sharedItems containsSemiMixedTypes="0" containsString="0" containsNumber="1" minValue="0" maxValue="124500"/>
    </cacheField>
    <cacheField name="Customer_Name" numFmtId="165">
      <sharedItems/>
    </cacheField>
    <cacheField name="Order Cateogry" numFmtId="164">
      <sharedItems/>
    </cacheField>
    <cacheField name="Type Of Products" numFmtId="0">
      <sharedItems count="23">
        <s v="Books &amp; Stationeries"/>
        <s v="Cosmetics"/>
        <s v="Confectionaries"/>
        <s v="Electronics"/>
        <s v="Toys"/>
        <s v="Dry Fruits"/>
        <s v="Home and kitchen"/>
        <s v="Beverages"/>
        <s v="Art and collections"/>
        <s v="Apparel"/>
        <s v="Automotive"/>
        <s v="Hardware"/>
        <s v="Sports &amp; Fitness"/>
        <s v="Furniture"/>
        <s v="Health &amp; Beauty"/>
        <s v="Drinkware"/>
        <s v="Pet Supplies"/>
        <s v="Home and Lifestyle "/>
        <s v="Food and Beverages"/>
        <s v="Home &amp; décor"/>
        <s v="Fashion &amp; Acessories"/>
        <s v="Jewelry"/>
        <s v="Home&amp; décor" u="1"/>
      </sharedItems>
    </cacheField>
    <cacheField name="City" numFmtId="0">
      <sharedItems/>
    </cacheField>
    <cacheField name="Payment_Mode" numFmtId="0">
      <sharedItems/>
    </cacheField>
    <cacheField name="Order_status" numFmtId="0">
      <sharedItems count="2">
        <s v="Delivered"/>
        <s v="Pending"/>
      </sharedItems>
    </cacheField>
  </cacheFields>
  <extLst>
    <ext xmlns:x14="http://schemas.microsoft.com/office/spreadsheetml/2009/9/main" uri="{725AE2AE-9491-48be-B2B4-4EB974FC3084}">
      <x14:pivotCacheDefinition pivotCacheId="1225690004"/>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50.691640856479" createdVersion="8" refreshedVersion="8" minRefreshableVersion="3" recordCount="200" xr:uid="{2E37AEB7-BA65-4341-9708-A06B14E31CC1}">
  <cacheSource type="worksheet">
    <worksheetSource name="Table1"/>
  </cacheSource>
  <cacheFields count="18">
    <cacheField name="Order ID" numFmtId="0">
      <sharedItems/>
    </cacheField>
    <cacheField name="Order_Date" numFmtId="15">
      <sharedItems containsSemiMixedTypes="0" containsNonDate="0" containsDate="1" containsString="0" minDate="2025-01-12T00:00:00" maxDate="2025-02-01T00:00:00"/>
    </cacheField>
    <cacheField name="Customer ID" numFmtId="0">
      <sharedItems/>
    </cacheField>
    <cacheField name="Product ID" numFmtId="0">
      <sharedItems/>
    </cacheField>
    <cacheField name="Quantity" numFmtId="0">
      <sharedItems containsSemiMixedTypes="0" containsString="0" containsNumber="1" containsInteger="1" minValue="1" maxValue="22"/>
    </cacheField>
    <cacheField name="Unit_Price" numFmtId="165">
      <sharedItems containsSemiMixedTypes="0" containsString="0" containsNumber="1" containsInteger="1" minValue="125" maxValue="245000"/>
    </cacheField>
    <cacheField name="Gross_Sales" numFmtId="165">
      <sharedItems containsSemiMixedTypes="0" containsString="0" containsNumber="1" containsInteger="1" minValue="400" maxValue="550000"/>
    </cacheField>
    <cacheField name="Discount" numFmtId="0">
      <sharedItems containsSemiMixedTypes="0" containsString="0" containsNumber="1" minValue="0" maxValue="0.4"/>
    </cacheField>
    <cacheField name="Discount_Amount" numFmtId="165">
      <sharedItems containsSemiMixedTypes="0" containsString="0" containsNumber="1" minValue="0" maxValue="137500"/>
    </cacheField>
    <cacheField name="Delivery_Charges" numFmtId="165">
      <sharedItems containsSemiMixedTypes="0" containsString="0" containsNumber="1" minValue="160" maxValue="220000"/>
    </cacheField>
    <cacheField name="Net Sales" numFmtId="165">
      <sharedItems containsSemiMixedTypes="0" containsString="0" containsNumber="1" minValue="560" maxValue="632500"/>
    </cacheField>
    <cacheField name="Surplus" numFmtId="165">
      <sharedItems containsSemiMixedTypes="0" containsString="0" containsNumber="1" minValue="0" maxValue="124500"/>
    </cacheField>
    <cacheField name="Customer_Name" numFmtId="165">
      <sharedItems/>
    </cacheField>
    <cacheField name="Order Cateogry" numFmtId="164">
      <sharedItems/>
    </cacheField>
    <cacheField name="Type Of Products" numFmtId="0">
      <sharedItems count="22">
        <s v="Books &amp; Stationeries"/>
        <s v="Cosmetics"/>
        <s v="Confectionaries"/>
        <s v="Electronics"/>
        <s v="Toys"/>
        <s v="Dry Fruits"/>
        <s v="Home and kitchen"/>
        <s v="Beverages"/>
        <s v="Art and collections"/>
        <s v="Apparel"/>
        <s v="Automotive"/>
        <s v="Hardware"/>
        <s v="Sports &amp; Fitness"/>
        <s v="Furniture"/>
        <s v="Health &amp; Beauty"/>
        <s v="Drinkware"/>
        <s v="Pet Supplies"/>
        <s v="Home and Lifestyle "/>
        <s v="Food and Beverages"/>
        <s v="Home &amp; décor"/>
        <s v="Fashion &amp; Acessories"/>
        <s v="Jewelry"/>
      </sharedItems>
    </cacheField>
    <cacheField name="City" numFmtId="0">
      <sharedItems/>
    </cacheField>
    <cacheField name="Payment_Mode" numFmtId="0">
      <sharedItems count="6">
        <s v="Credit Card"/>
        <s v="UPI"/>
        <s v="Cash on delivery"/>
        <s v="Buy Now Pay later"/>
        <s v="EMI "/>
        <s v="No Cost EMI"/>
      </sharedItems>
    </cacheField>
    <cacheField name="Order_statu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ORD1001"/>
    <d v="2025-01-12T00:00:00"/>
    <s v="C001"/>
    <s v="P001"/>
    <n v="4"/>
    <n v="899"/>
    <n v="3596"/>
    <n v="0.1"/>
    <n v="359.6"/>
    <n v="1438.4"/>
    <n v="4674.7999999999993"/>
    <n v="1078.7999999999993"/>
    <s v="Aarav Mehta"/>
    <s v="Micro"/>
    <x v="0"/>
    <s v="Agartala"/>
    <s v="Credit Card"/>
    <x v="0"/>
  </r>
  <r>
    <s v="ORD1002"/>
    <d v="2025-01-12T00:00:00"/>
    <s v="C002"/>
    <s v="P002"/>
    <n v="5"/>
    <n v="649"/>
    <n v="3245"/>
    <n v="0.02"/>
    <n v="64.900000000000006"/>
    <n v="1298"/>
    <n v="4478.1000000000004"/>
    <n v="1233.1000000000004"/>
    <s v="Aditi Patel"/>
    <s v="Micro"/>
    <x v="0"/>
    <s v="Agra"/>
    <s v="UPI"/>
    <x v="0"/>
  </r>
  <r>
    <s v="ORD1003"/>
    <d v="2025-01-12T00:00:00"/>
    <s v="C003"/>
    <s v="P003"/>
    <n v="6"/>
    <n v="125"/>
    <n v="750"/>
    <n v="0"/>
    <n v="0"/>
    <n v="300"/>
    <n v="1050"/>
    <n v="300"/>
    <s v="Arjun Khanna"/>
    <s v="Micro"/>
    <x v="0"/>
    <s v="Ahmedabad"/>
    <s v="Cash on delivery"/>
    <x v="0"/>
  </r>
  <r>
    <s v="ORD1004"/>
    <d v="2025-01-12T00:00:00"/>
    <s v="C004"/>
    <s v="P004"/>
    <n v="7"/>
    <n v="199"/>
    <n v="1393"/>
    <n v="0"/>
    <n v="0"/>
    <n v="557.20000000000005"/>
    <n v="1950.2"/>
    <n v="557.20000000000005"/>
    <s v="Ananya Khanna"/>
    <s v="Micro"/>
    <x v="0"/>
    <s v="Aizawl"/>
    <s v="Cash on delivery"/>
    <x v="0"/>
  </r>
  <r>
    <s v="ORD1005"/>
    <d v="2025-01-13T00:00:00"/>
    <s v="C005"/>
    <s v="P005"/>
    <n v="2"/>
    <n v="900"/>
    <n v="1800"/>
    <n v="0.15"/>
    <n v="270"/>
    <n v="720"/>
    <n v="2250"/>
    <n v="450"/>
    <s v="Aditya Kulkarni"/>
    <s v="Micro"/>
    <x v="1"/>
    <s v="Ajmer"/>
    <s v="Cash on delivery"/>
    <x v="0"/>
  </r>
  <r>
    <s v="ORD1006"/>
    <d v="2025-01-13T00:00:00"/>
    <s v="C006"/>
    <s v="P006"/>
    <n v="3"/>
    <n v="1200"/>
    <n v="3600"/>
    <n v="0.15"/>
    <n v="540"/>
    <n v="1440"/>
    <n v="4500"/>
    <n v="900"/>
    <s v="Ishita Yadav"/>
    <s v="Micro"/>
    <x v="2"/>
    <s v="Aligarh "/>
    <s v="Cash on delivery"/>
    <x v="0"/>
  </r>
  <r>
    <s v="ORD1007"/>
    <d v="2025-01-13T00:00:00"/>
    <s v="C007"/>
    <s v="P007"/>
    <n v="4"/>
    <n v="800"/>
    <n v="3200"/>
    <n v="0.15"/>
    <n v="480"/>
    <n v="1280"/>
    <n v="4000"/>
    <n v="800"/>
    <s v="Kabir Mathur"/>
    <s v="Micro"/>
    <x v="3"/>
    <s v="Amravati"/>
    <s v="Cash on delivery"/>
    <x v="0"/>
  </r>
  <r>
    <s v="ORD1008"/>
    <d v="2025-01-13T00:00:00"/>
    <s v="C008"/>
    <s v="P008"/>
    <n v="5"/>
    <n v="700"/>
    <n v="3500"/>
    <n v="0.15"/>
    <n v="525"/>
    <n v="1400"/>
    <n v="4375"/>
    <n v="875"/>
    <s v="Meera Gupta"/>
    <s v="Micro"/>
    <x v="0"/>
    <s v="Amritsar"/>
    <s v="Cash on delivery"/>
    <x v="0"/>
  </r>
  <r>
    <s v="ORD1009"/>
    <d v="2025-01-14T00:00:00"/>
    <s v="C009"/>
    <s v="P009"/>
    <n v="1"/>
    <n v="600"/>
    <n v="600"/>
    <n v="0.15"/>
    <n v="90"/>
    <n v="240"/>
    <n v="750"/>
    <n v="150"/>
    <s v="Rohan Iyer"/>
    <s v="Micro"/>
    <x v="0"/>
    <s v="Aurangabad"/>
    <s v="Cash on delivery"/>
    <x v="0"/>
  </r>
  <r>
    <s v="ORD1010"/>
    <d v="2025-01-14T00:00:00"/>
    <s v="C010"/>
    <s v="P010"/>
    <n v="3"/>
    <n v="3000"/>
    <n v="9000"/>
    <n v="0.15"/>
    <n v="1350"/>
    <n v="3600"/>
    <n v="11250"/>
    <n v="2250"/>
    <s v="Priya Mishra"/>
    <s v="Medium"/>
    <x v="4"/>
    <s v="Bangalore"/>
    <s v="Cash on delivery"/>
    <x v="0"/>
  </r>
  <r>
    <s v="ORD1011"/>
    <d v="2025-01-14T00:00:00"/>
    <s v="C011"/>
    <s v="P011"/>
    <n v="5"/>
    <n v="2500"/>
    <n v="12500"/>
    <n v="0.2"/>
    <n v="2500"/>
    <n v="5000"/>
    <n v="15000"/>
    <n v="2500"/>
    <s v="Rahul Pandey"/>
    <s v="Medium"/>
    <x v="5"/>
    <s v="Bareilly"/>
    <s v="Credit Card"/>
    <x v="1"/>
  </r>
  <r>
    <s v="ORD1012"/>
    <d v="2025-01-14T00:00:00"/>
    <s v="C012"/>
    <s v="P012"/>
    <n v="7"/>
    <n v="2300"/>
    <n v="16100"/>
    <n v="0.2"/>
    <n v="3220"/>
    <n v="6440"/>
    <n v="19320"/>
    <n v="3220"/>
    <s v="Sneha Srivastava"/>
    <s v="Medium"/>
    <x v="6"/>
    <s v="Chandigarh"/>
    <s v="Credit Card"/>
    <x v="0"/>
  </r>
  <r>
    <s v="ORD1013"/>
    <d v="2025-01-14T00:00:00"/>
    <s v="C013"/>
    <s v="P013"/>
    <n v="9"/>
    <n v="2100"/>
    <n v="18900"/>
    <n v="0.2"/>
    <n v="3780"/>
    <n v="7560"/>
    <n v="22680"/>
    <n v="3780"/>
    <s v="Vihaan Dutta"/>
    <s v="Medium"/>
    <x v="6"/>
    <s v="Chennai"/>
    <s v="Credit Card"/>
    <x v="1"/>
  </r>
  <r>
    <s v="ORD1014"/>
    <d v="2025-01-14T00:00:00"/>
    <s v="C014"/>
    <s v="P014"/>
    <n v="11"/>
    <n v="1900"/>
    <n v="20900"/>
    <n v="0.2"/>
    <n v="4180"/>
    <n v="8360"/>
    <n v="25080"/>
    <n v="4180"/>
    <s v="Diya Sood"/>
    <s v="Medium"/>
    <x v="7"/>
    <s v="Coimbatore"/>
    <s v="Credit Card"/>
    <x v="1"/>
  </r>
  <r>
    <s v="ORD1015"/>
    <d v="2025-01-14T00:00:00"/>
    <s v="C015"/>
    <s v="P015"/>
    <n v="13"/>
    <n v="250"/>
    <n v="3250"/>
    <n v="0.2"/>
    <n v="650"/>
    <n v="1300"/>
    <n v="3900"/>
    <n v="650"/>
    <s v="Karan Verma"/>
    <s v="Micro"/>
    <x v="7"/>
    <s v="Dehradun"/>
    <s v="Credit Card"/>
    <x v="0"/>
  </r>
  <r>
    <s v="ORD1016"/>
    <d v="2025-01-14T00:00:00"/>
    <s v="C016"/>
    <s v="P016"/>
    <n v="15"/>
    <n v="1300"/>
    <n v="19500"/>
    <n v="0.2"/>
    <n v="3900"/>
    <n v="7800"/>
    <n v="23400"/>
    <n v="3900"/>
    <s v="Neha Agarwal"/>
    <s v="Medium"/>
    <x v="7"/>
    <s v="Dharamshala"/>
    <s v="Credit Card"/>
    <x v="1"/>
  </r>
  <r>
    <s v="ORD1017"/>
    <d v="2025-01-14T00:00:00"/>
    <s v="C017"/>
    <s v="P017"/>
    <n v="17"/>
    <n v="3100"/>
    <n v="52700"/>
    <n v="0.2"/>
    <n v="10540"/>
    <n v="21080"/>
    <n v="63240"/>
    <n v="10540"/>
    <s v="Aryan Saxena"/>
    <s v="Large"/>
    <x v="7"/>
    <s v="Faridabad"/>
    <s v="Credit Card"/>
    <x v="0"/>
  </r>
  <r>
    <s v="ORD1018"/>
    <d v="2025-01-14T00:00:00"/>
    <s v="C018"/>
    <s v="P018"/>
    <n v="19"/>
    <n v="1200"/>
    <n v="22800"/>
    <n v="0.2"/>
    <n v="4560"/>
    <n v="9120"/>
    <n v="27360"/>
    <n v="4560"/>
    <s v="Kavya Tiwari"/>
    <s v="Medium"/>
    <x v="8"/>
    <s v="Kanpur"/>
    <s v="Credit Card"/>
    <x v="1"/>
  </r>
  <r>
    <s v="ORD1019"/>
    <d v="2025-01-14T00:00:00"/>
    <s v="C019"/>
    <s v="P019"/>
    <n v="21"/>
    <n v="1100"/>
    <n v="23100"/>
    <n v="0.2"/>
    <n v="4620"/>
    <n v="9240"/>
    <n v="27720"/>
    <n v="4620"/>
    <s v="Yash Sinha"/>
    <s v="Medium"/>
    <x v="9"/>
    <s v="Gurugram"/>
    <s v="Credit Card"/>
    <x v="1"/>
  </r>
  <r>
    <s v="ORD1020"/>
    <d v="2025-01-14T00:00:00"/>
    <s v="C020"/>
    <s v="P020"/>
    <n v="5"/>
    <n v="2000"/>
    <n v="10000"/>
    <n v="0.1"/>
    <n v="1000"/>
    <n v="4000"/>
    <n v="13000"/>
    <n v="3000"/>
    <s v="Riya Banerjee"/>
    <s v="Medium"/>
    <x v="10"/>
    <s v="Kolkata"/>
    <s v="Credit Card"/>
    <x v="1"/>
  </r>
  <r>
    <s v="ORD1021"/>
    <d v="2025-01-15T00:00:00"/>
    <s v="C021"/>
    <s v="P021"/>
    <n v="3"/>
    <n v="3000"/>
    <n v="9000"/>
    <n v="0.05"/>
    <n v="450"/>
    <n v="3600"/>
    <n v="12150"/>
    <n v="3150"/>
    <s v="Dev Vohra"/>
    <s v="Medium"/>
    <x v="11"/>
    <s v="Amravati"/>
    <s v="Buy Now Pay later"/>
    <x v="0"/>
  </r>
  <r>
    <s v="ORD1022"/>
    <d v="2025-01-15T00:00:00"/>
    <s v="C022"/>
    <s v="P022"/>
    <n v="2"/>
    <n v="200"/>
    <n v="400"/>
    <n v="0"/>
    <n v="0"/>
    <n v="160"/>
    <n v="560"/>
    <n v="160"/>
    <s v="Nisha Sharma"/>
    <s v="Micro"/>
    <x v="3"/>
    <s v="Rohtak"/>
    <s v="Cash on delivery"/>
    <x v="0"/>
  </r>
  <r>
    <s v="ORD1023"/>
    <d v="2025-01-15T00:00:00"/>
    <s v="C023"/>
    <s v="P023"/>
    <n v="1"/>
    <n v="8000"/>
    <n v="8000"/>
    <n v="0.08"/>
    <n v="640"/>
    <n v="3200"/>
    <n v="10560"/>
    <n v="2560"/>
    <s v="Siddharth Bansal"/>
    <s v="Medium"/>
    <x v="3"/>
    <s v="Jind"/>
    <s v="Credit Card"/>
    <x v="1"/>
  </r>
  <r>
    <s v="ORD1024"/>
    <d v="2025-01-15T00:00:00"/>
    <s v="C024"/>
    <s v="P024"/>
    <n v="4"/>
    <n v="1250"/>
    <n v="5000"/>
    <n v="0.02"/>
    <n v="100"/>
    <n v="2000"/>
    <n v="6900"/>
    <n v="1900"/>
    <s v="Pooja Chopra"/>
    <s v="Small"/>
    <x v="3"/>
    <s v="Rohtak"/>
    <s v="Cash on delivery"/>
    <x v="1"/>
  </r>
  <r>
    <s v="ORD1025"/>
    <d v="2025-01-15T00:00:00"/>
    <s v="C025"/>
    <s v="P025"/>
    <n v="2"/>
    <n v="3000"/>
    <n v="6000"/>
    <n v="0.05"/>
    <n v="300"/>
    <n v="2400"/>
    <n v="8100"/>
    <n v="2100"/>
    <s v="Varun Sethi"/>
    <s v="Small"/>
    <x v="8"/>
    <s v="Gurugram"/>
    <s v="Credit Card"/>
    <x v="1"/>
  </r>
  <r>
    <s v="ORD1026"/>
    <d v="2025-01-16T00:00:00"/>
    <s v="C026"/>
    <s v="P026"/>
    <n v="4"/>
    <n v="4000"/>
    <n v="16000"/>
    <n v="0.1"/>
    <n v="1600"/>
    <n v="6400"/>
    <n v="20800"/>
    <n v="4800"/>
    <s v="Simran Jain"/>
    <s v="Medium"/>
    <x v="6"/>
    <s v="Faridabad"/>
    <s v="Buy Now Pay later"/>
    <x v="1"/>
  </r>
  <r>
    <s v="ORD1027"/>
    <d v="2025-01-17T00:00:00"/>
    <s v="C027"/>
    <s v="P027"/>
    <n v="2"/>
    <n v="5000"/>
    <n v="10000"/>
    <n v="0"/>
    <n v="0"/>
    <n v="4000"/>
    <n v="14000"/>
    <n v="4000"/>
    <s v="Aniket Mukherjee"/>
    <s v="Medium"/>
    <x v="12"/>
    <s v="Gurugram"/>
    <s v="Credit Card"/>
    <x v="0"/>
  </r>
  <r>
    <s v="ORD1028"/>
    <d v="2025-01-18T00:00:00"/>
    <s v="C028"/>
    <s v="P028"/>
    <n v="6"/>
    <n v="6000"/>
    <n v="36000"/>
    <n v="0.25"/>
    <n v="9000"/>
    <n v="14400"/>
    <n v="41400"/>
    <n v="5400"/>
    <s v="Tanvi Dubey"/>
    <s v="Large"/>
    <x v="4"/>
    <s v="Gurugram"/>
    <s v="EMI "/>
    <x v="0"/>
  </r>
  <r>
    <s v="ORD1029"/>
    <d v="2025-01-19T00:00:00"/>
    <s v="C029"/>
    <s v="P029"/>
    <n v="3"/>
    <n v="12000"/>
    <n v="36000"/>
    <n v="0.1"/>
    <n v="3600"/>
    <n v="14400"/>
    <n v="46800"/>
    <n v="10800"/>
    <s v="Manav Naidu"/>
    <s v="Large"/>
    <x v="13"/>
    <s v="Bangalore"/>
    <s v="Buy Now Pay later"/>
    <x v="1"/>
  </r>
  <r>
    <s v="ORD1030"/>
    <d v="2025-01-20T00:00:00"/>
    <s v="C030"/>
    <s v="P030"/>
    <n v="2"/>
    <n v="15000"/>
    <n v="30000"/>
    <n v="0.25"/>
    <n v="7500"/>
    <n v="12000"/>
    <n v="34500"/>
    <n v="4500"/>
    <s v="Shreya Malhotra"/>
    <s v="Large"/>
    <x v="1"/>
    <s v="Bangalore"/>
    <s v="EMI "/>
    <x v="1"/>
  </r>
  <r>
    <s v="ORD1031"/>
    <d v="2025-01-21T00:00:00"/>
    <s v="C031"/>
    <s v="P031"/>
    <n v="1"/>
    <n v="31000"/>
    <n v="31000"/>
    <n v="0.25"/>
    <n v="7750"/>
    <n v="12400"/>
    <n v="35650"/>
    <n v="4650"/>
    <s v="Vivaan Joshi"/>
    <s v="Large"/>
    <x v="3"/>
    <s v="Delhi"/>
    <s v="EMI "/>
    <x v="1"/>
  </r>
  <r>
    <s v="ORD1032"/>
    <d v="2025-01-22T00:00:00"/>
    <s v="C032"/>
    <s v="P032"/>
    <n v="7"/>
    <n v="700"/>
    <n v="4900"/>
    <n v="0.05"/>
    <n v="245"/>
    <n v="1960"/>
    <n v="6615"/>
    <n v="1715"/>
    <s v="Avni Chawla"/>
    <s v="Small"/>
    <x v="14"/>
    <s v="Delhi"/>
    <s v="Cash on delivery"/>
    <x v="0"/>
  </r>
  <r>
    <s v="ORD1033"/>
    <d v="2025-01-22T00:00:00"/>
    <s v="C033"/>
    <s v="P033"/>
    <n v="8"/>
    <n v="1000"/>
    <n v="8000"/>
    <n v="0.05"/>
    <n v="400"/>
    <n v="3200"/>
    <n v="10800"/>
    <n v="2800"/>
    <s v="Reyansh Goyal"/>
    <s v="Medium"/>
    <x v="3"/>
    <s v="Delhi"/>
    <s v="Credit Card"/>
    <x v="0"/>
  </r>
  <r>
    <s v="ORD1034"/>
    <d v="2025-01-22T00:00:00"/>
    <s v="C034"/>
    <s v="P034"/>
    <n v="9"/>
    <n v="900"/>
    <n v="8100"/>
    <n v="0"/>
    <n v="0"/>
    <n v="3240"/>
    <n v="11340"/>
    <n v="3240"/>
    <s v="Myra Pillai"/>
    <s v="Medium"/>
    <x v="3"/>
    <s v="Delhi"/>
    <s v="Credit Card"/>
    <x v="1"/>
  </r>
  <r>
    <s v="ORD1035"/>
    <d v="2025-01-23T00:00:00"/>
    <s v="C035"/>
    <s v="P035"/>
    <n v="10"/>
    <n v="10000"/>
    <n v="100000"/>
    <n v="0.15"/>
    <n v="15000"/>
    <n v="40000"/>
    <n v="125000"/>
    <n v="25000"/>
    <s v="Krish Tripathi"/>
    <s v="Industrial"/>
    <x v="3"/>
    <s v="Delhi"/>
    <s v="Credit Card"/>
    <x v="1"/>
  </r>
  <r>
    <s v="ORD1036"/>
    <d v="2025-01-23T00:00:00"/>
    <s v="C036"/>
    <s v="P036"/>
    <n v="11"/>
    <n v="1200"/>
    <n v="13200"/>
    <n v="0.1"/>
    <n v="1320"/>
    <n v="5280"/>
    <n v="17160"/>
    <n v="3960"/>
    <s v="Kiara Bhatt"/>
    <s v="Medium"/>
    <x v="11"/>
    <s v="Delhi"/>
    <s v="Credit Card"/>
    <x v="1"/>
  </r>
  <r>
    <s v="ORD1037"/>
    <d v="2025-01-23T00:00:00"/>
    <s v="C037"/>
    <s v="P037"/>
    <n v="12"/>
    <n v="2400"/>
    <n v="28800"/>
    <n v="0.12"/>
    <n v="3456"/>
    <n v="11520"/>
    <n v="36864"/>
    <n v="8064"/>
    <s v="Atharv Kapoor"/>
    <s v="Large"/>
    <x v="11"/>
    <s v="Delhi"/>
    <s v="Credit Card"/>
    <x v="0"/>
  </r>
  <r>
    <s v="ORD1038"/>
    <d v="2025-01-23T00:00:00"/>
    <s v="C038"/>
    <s v="P038"/>
    <n v="13"/>
    <n v="2600"/>
    <n v="33800"/>
    <n v="0.14000000000000001"/>
    <n v="4732"/>
    <n v="13520"/>
    <n v="42588"/>
    <n v="8788"/>
    <s v="Anika Nair"/>
    <s v="Large"/>
    <x v="3"/>
    <s v="Delhi"/>
    <s v="Credit Card"/>
    <x v="0"/>
  </r>
  <r>
    <s v="ORD1039"/>
    <d v="2025-01-23T00:00:00"/>
    <s v="C039"/>
    <s v="P039"/>
    <n v="14"/>
    <n v="2800"/>
    <n v="39200"/>
    <n v="0.16"/>
    <n v="6272"/>
    <n v="15680"/>
    <n v="48608"/>
    <n v="9408"/>
    <s v="Dhruv Rao"/>
    <s v="Large"/>
    <x v="15"/>
    <s v="Delhi"/>
    <s v="Credit Card"/>
    <x v="0"/>
  </r>
  <r>
    <s v="ORD1040"/>
    <d v="2025-01-23T00:00:00"/>
    <s v="C040"/>
    <s v="P040"/>
    <n v="11"/>
    <n v="1175"/>
    <n v="12925"/>
    <n v="0.1"/>
    <n v="1292.5"/>
    <n v="5170"/>
    <n v="16802.5"/>
    <n v="3877.5"/>
    <s v="Saanvi Bhatia"/>
    <s v="Medium"/>
    <x v="7"/>
    <s v="Delhi"/>
    <s v="Credit Card"/>
    <x v="0"/>
  </r>
  <r>
    <s v="ORD1041"/>
    <d v="2025-01-24T00:00:00"/>
    <s v="C041"/>
    <s v="P041"/>
    <n v="1"/>
    <n v="45000"/>
    <n v="45000"/>
    <n v="0.25"/>
    <n v="11250"/>
    <n v="18000"/>
    <n v="51750"/>
    <n v="6750"/>
    <s v="Rudra Menon"/>
    <s v="Large"/>
    <x v="13"/>
    <s v="Delhi"/>
    <s v="Credit Card"/>
    <x v="0"/>
  </r>
  <r>
    <s v="ORD1042"/>
    <d v="2025-01-24T00:00:00"/>
    <s v="C042"/>
    <s v="P042"/>
    <n v="2"/>
    <n v="70000"/>
    <n v="140000"/>
    <n v="0.25"/>
    <n v="35000"/>
    <n v="56000"/>
    <n v="161000"/>
    <n v="21000"/>
    <s v="Navya Shukla"/>
    <s v="Wholesale"/>
    <x v="6"/>
    <s v="Gurugram"/>
    <s v="EMI "/>
    <x v="0"/>
  </r>
  <r>
    <s v="ORD1043"/>
    <d v="2025-01-24T00:00:00"/>
    <s v="C043"/>
    <s v="P043"/>
    <n v="3"/>
    <n v="13000"/>
    <n v="39000"/>
    <n v="0.1"/>
    <n v="3900"/>
    <n v="15600"/>
    <n v="50700"/>
    <n v="11700"/>
    <s v="Ayush Ahuja"/>
    <s v="Large"/>
    <x v="6"/>
    <s v="Gurugram"/>
    <s v="No Cost EMI"/>
    <x v="0"/>
  </r>
  <r>
    <s v="ORD1044"/>
    <d v="2025-01-24T00:00:00"/>
    <s v="C044"/>
    <s v="P044"/>
    <n v="14"/>
    <n v="14000"/>
    <n v="196000"/>
    <n v="0.15"/>
    <n v="29400"/>
    <n v="78400"/>
    <n v="245000"/>
    <n v="49000"/>
    <s v="Tanya Singh"/>
    <s v="Wholesale"/>
    <x v="3"/>
    <s v="Gurugram"/>
    <s v="Credit Card"/>
    <x v="0"/>
  </r>
  <r>
    <s v="ORD1045"/>
    <d v="2025-01-24T00:00:00"/>
    <s v="C045"/>
    <s v="P045"/>
    <n v="10"/>
    <n v="25000"/>
    <n v="250000"/>
    <n v="0.2"/>
    <n v="50000"/>
    <n v="100000"/>
    <n v="300000"/>
    <n v="50000"/>
    <s v="Arnav Reddy"/>
    <s v="Wholesale"/>
    <x v="3"/>
    <s v="Gurugram"/>
    <s v="Credit Card"/>
    <x v="0"/>
  </r>
  <r>
    <s v="ORD1046"/>
    <d v="2025-01-24T00:00:00"/>
    <s v="C046"/>
    <s v="P046"/>
    <n v="9"/>
    <n v="1500"/>
    <n v="13500"/>
    <n v="0"/>
    <n v="0"/>
    <n v="5400"/>
    <n v="18900"/>
    <n v="5400"/>
    <s v="Ira Das"/>
    <s v="Medium"/>
    <x v="3"/>
    <s v="Gurugram"/>
    <s v="Cash on delivery"/>
    <x v="0"/>
  </r>
  <r>
    <s v="ORD1047"/>
    <d v="2025-01-24T00:00:00"/>
    <s v="C047"/>
    <s v="P047"/>
    <n v="8"/>
    <n v="1000"/>
    <n v="8000"/>
    <n v="0"/>
    <n v="0"/>
    <n v="3200"/>
    <n v="11200"/>
    <n v="3200"/>
    <s v="Shaurya Arora"/>
    <s v="Medium"/>
    <x v="3"/>
    <s v="Gurugram"/>
    <s v="Cash on delivery"/>
    <x v="0"/>
  </r>
  <r>
    <s v="ORD1048"/>
    <d v="2025-01-24T00:00:00"/>
    <s v="C048"/>
    <s v="P048"/>
    <n v="7"/>
    <n v="1350"/>
    <n v="9450"/>
    <n v="0"/>
    <n v="0"/>
    <n v="3780"/>
    <n v="13230"/>
    <n v="3780"/>
    <s v="Mahi Desai"/>
    <s v="Medium"/>
    <x v="4"/>
    <s v="Gurugram"/>
    <s v="Cash on delivery"/>
    <x v="0"/>
  </r>
  <r>
    <s v="ORD1049"/>
    <d v="2025-01-24T00:00:00"/>
    <s v="C049"/>
    <s v="P049"/>
    <n v="5"/>
    <n v="2500"/>
    <n v="12500"/>
    <n v="0"/>
    <n v="0"/>
    <n v="5000"/>
    <n v="17500"/>
    <n v="5000"/>
    <s v="Parth Thakur"/>
    <s v="Medium"/>
    <x v="0"/>
    <s v="Gurugram"/>
    <s v="Cash on delivery"/>
    <x v="0"/>
  </r>
  <r>
    <s v="ORD1050"/>
    <d v="2025-01-24T00:00:00"/>
    <s v="C050"/>
    <s v="P050"/>
    <n v="4"/>
    <n v="4000"/>
    <n v="16000"/>
    <n v="0"/>
    <n v="0"/>
    <n v="6400"/>
    <n v="22400"/>
    <n v="6400"/>
    <s v="Aanya Kohli"/>
    <s v="Medium"/>
    <x v="12"/>
    <s v="Gurugram"/>
    <s v="Cash on delivery"/>
    <x v="0"/>
  </r>
  <r>
    <s v="ORD1051"/>
    <d v="2025-01-24T00:00:00"/>
    <s v="C051"/>
    <s v="P051"/>
    <n v="3"/>
    <n v="3000"/>
    <n v="9000"/>
    <n v="0.05"/>
    <n v="450"/>
    <n v="3600"/>
    <n v="12150"/>
    <n v="3150"/>
    <s v="Aarav Singh"/>
    <s v="Medium"/>
    <x v="6"/>
    <s v="Gurugram"/>
    <s v="Credit Card"/>
    <x v="0"/>
  </r>
  <r>
    <s v="ORD1052"/>
    <d v="2025-01-24T00:00:00"/>
    <s v="C052"/>
    <s v="P052"/>
    <n v="2"/>
    <n v="30000"/>
    <n v="60000"/>
    <n v="0.1"/>
    <n v="6000"/>
    <n v="24000"/>
    <n v="78000"/>
    <n v="18000"/>
    <s v="Aditi Reddy"/>
    <s v="Large"/>
    <x v="3"/>
    <s v="Gurugram"/>
    <s v="Credit Card"/>
    <x v="1"/>
  </r>
  <r>
    <s v="ORD1053"/>
    <d v="2025-01-24T00:00:00"/>
    <s v="C053"/>
    <s v="P053"/>
    <n v="1"/>
    <n v="15000"/>
    <n v="15000"/>
    <n v="7.0000000000000007E-2"/>
    <n v="1050"/>
    <n v="6000"/>
    <n v="19950"/>
    <n v="4950"/>
    <s v="Arjun Das"/>
    <s v="Medium"/>
    <x v="3"/>
    <s v="Gurugram"/>
    <s v="EMI "/>
    <x v="1"/>
  </r>
  <r>
    <s v="ORD1054"/>
    <d v="2025-01-24T00:00:00"/>
    <s v="C054"/>
    <s v="P054"/>
    <n v="11"/>
    <n v="800"/>
    <n v="8800"/>
    <n v="0.05"/>
    <n v="440"/>
    <n v="3520"/>
    <n v="11880"/>
    <n v="3080"/>
    <s v="Ananya Arora"/>
    <s v="Medium"/>
    <x v="3"/>
    <s v="Gurugram"/>
    <s v="Credit Card"/>
    <x v="0"/>
  </r>
  <r>
    <s v="ORD1055"/>
    <d v="2025-01-24T00:00:00"/>
    <s v="C055"/>
    <s v="P055"/>
    <n v="12"/>
    <n v="1000"/>
    <n v="12000"/>
    <n v="0.1"/>
    <n v="1200"/>
    <n v="4800"/>
    <n v="15600"/>
    <n v="3600"/>
    <s v="Aditya Desai"/>
    <s v="Medium"/>
    <x v="3"/>
    <s v="Gurugram"/>
    <s v="Credit Card"/>
    <x v="0"/>
  </r>
  <r>
    <s v="ORD1056"/>
    <d v="2025-01-24T00:00:00"/>
    <s v="C056"/>
    <s v="P056"/>
    <n v="12"/>
    <n v="1200"/>
    <n v="14400"/>
    <n v="7.0000000000000007E-2"/>
    <n v="1008.0000000000001"/>
    <n v="5760"/>
    <n v="19152"/>
    <n v="4752"/>
    <s v="Ishita Thakur"/>
    <s v="Medium"/>
    <x v="3"/>
    <s v="Gurugram"/>
    <s v="EMI "/>
    <x v="0"/>
  </r>
  <r>
    <s v="ORD1057"/>
    <d v="2025-01-24T00:00:00"/>
    <s v="C057"/>
    <s v="P057"/>
    <n v="13"/>
    <n v="3600"/>
    <n v="46800"/>
    <n v="0.25"/>
    <n v="11700"/>
    <n v="18720"/>
    <n v="53820"/>
    <n v="7020"/>
    <s v="Kabir Kohli"/>
    <s v="Large"/>
    <x v="3"/>
    <s v="Gurugram"/>
    <s v="Credit Card"/>
    <x v="1"/>
  </r>
  <r>
    <s v="ORD1058"/>
    <d v="2025-01-24T00:00:00"/>
    <s v="C058"/>
    <s v="P058"/>
    <n v="14"/>
    <n v="4500"/>
    <n v="63000"/>
    <n v="0.05"/>
    <n v="3150"/>
    <n v="25200"/>
    <n v="85050"/>
    <n v="22050"/>
    <s v="Meera Mehta"/>
    <s v="Large"/>
    <x v="11"/>
    <s v="Gurugram"/>
    <s v="No Cost EMI"/>
    <x v="1"/>
  </r>
  <r>
    <s v="ORD1059"/>
    <d v="2025-01-24T00:00:00"/>
    <s v="C059"/>
    <s v="P059"/>
    <n v="15"/>
    <n v="2500"/>
    <n v="37500"/>
    <n v="0.12"/>
    <n v="4500"/>
    <n v="15000"/>
    <n v="48000"/>
    <n v="10500"/>
    <s v="Rohan Patel"/>
    <s v="Large"/>
    <x v="16"/>
    <s v="Gurugram"/>
    <s v="Buy Now Pay later"/>
    <x v="0"/>
  </r>
  <r>
    <s v="ORD1060"/>
    <d v="2025-01-24T00:00:00"/>
    <s v="C060"/>
    <s v="P060"/>
    <n v="16"/>
    <n v="1525"/>
    <n v="24400"/>
    <n v="0.15"/>
    <n v="3660"/>
    <n v="9760"/>
    <n v="30500"/>
    <n v="6100"/>
    <s v="Priya Khan"/>
    <s v="Large"/>
    <x v="7"/>
    <s v="Gurugram"/>
    <s v="Buy Now Pay later"/>
    <x v="1"/>
  </r>
  <r>
    <s v="ORD1061"/>
    <d v="2025-01-24T00:00:00"/>
    <s v="C061"/>
    <s v="P061"/>
    <n v="1"/>
    <n v="85000"/>
    <n v="85000"/>
    <n v="0.05"/>
    <n v="4250"/>
    <n v="34000"/>
    <n v="114750"/>
    <n v="29750"/>
    <s v="Rahul Khanna"/>
    <s v="Industrial"/>
    <x v="3"/>
    <s v="Gurugram"/>
    <s v="Credit Card"/>
    <x v="0"/>
  </r>
  <r>
    <s v="ORD1062"/>
    <d v="2025-01-24T00:00:00"/>
    <s v="C062"/>
    <s v="P062"/>
    <n v="17"/>
    <n v="500"/>
    <n v="8500"/>
    <n v="0.05"/>
    <n v="425"/>
    <n v="3400"/>
    <n v="11475"/>
    <n v="2975"/>
    <s v="Sneha Kulkarni"/>
    <s v="Medium"/>
    <x v="0"/>
    <s v="Gurugram"/>
    <s v="Cash on delivery"/>
    <x v="1"/>
  </r>
  <r>
    <s v="ORD1063"/>
    <d v="2025-01-24T00:00:00"/>
    <s v="C063"/>
    <s v="P063"/>
    <n v="18"/>
    <n v="800"/>
    <n v="14400"/>
    <n v="0.05"/>
    <n v="720"/>
    <n v="5760"/>
    <n v="19440"/>
    <n v="5040"/>
    <s v="Vihaan Yadav"/>
    <s v="Medium"/>
    <x v="3"/>
    <s v="Gurugram"/>
    <s v="Cash on delivery"/>
    <x v="1"/>
  </r>
  <r>
    <s v="ORD1064"/>
    <d v="2025-01-24T00:00:00"/>
    <s v="C064"/>
    <s v="P064"/>
    <n v="18"/>
    <n v="1000"/>
    <n v="18000"/>
    <n v="0.05"/>
    <n v="900"/>
    <n v="7200"/>
    <n v="24300"/>
    <n v="6300"/>
    <s v="Diya Mathur"/>
    <s v="Medium"/>
    <x v="3"/>
    <s v="Gurugram"/>
    <s v="Credit Card"/>
    <x v="1"/>
  </r>
  <r>
    <s v="ORD1065"/>
    <d v="2025-01-24T00:00:00"/>
    <s v="C065"/>
    <s v="P065"/>
    <n v="2"/>
    <n v="30000"/>
    <n v="60000"/>
    <n v="0.1"/>
    <n v="6000"/>
    <n v="24000"/>
    <n v="78000"/>
    <n v="18000"/>
    <s v="Karan Gupta"/>
    <s v="Large"/>
    <x v="3"/>
    <s v="Gurugram"/>
    <s v="No Cost EMI"/>
    <x v="1"/>
  </r>
  <r>
    <s v="ORD1066"/>
    <d v="2025-01-24T00:00:00"/>
    <s v="C066"/>
    <s v="P066"/>
    <n v="3"/>
    <n v="4000"/>
    <n v="12000"/>
    <n v="0.1"/>
    <n v="1200"/>
    <n v="4800"/>
    <n v="15600"/>
    <n v="3600"/>
    <s v="Neha Iyer"/>
    <s v="Medium"/>
    <x v="3"/>
    <s v="Kochi"/>
    <s v="Credit Card"/>
    <x v="1"/>
  </r>
  <r>
    <s v="ORD1067"/>
    <d v="2025-01-24T00:00:00"/>
    <s v="C067"/>
    <s v="P067"/>
    <n v="4"/>
    <n v="5000"/>
    <n v="20000"/>
    <n v="0.1"/>
    <n v="2000"/>
    <n v="8000"/>
    <n v="26000"/>
    <n v="6000"/>
    <s v="Aryan Mishra"/>
    <s v="Medium"/>
    <x v="7"/>
    <s v="Coimbatore"/>
    <s v="Credit Card"/>
    <x v="1"/>
  </r>
  <r>
    <s v="ORD1068"/>
    <d v="2025-01-24T00:00:00"/>
    <s v="C068"/>
    <s v="P068"/>
    <n v="5"/>
    <n v="6000"/>
    <n v="30000"/>
    <n v="0.1"/>
    <n v="3000"/>
    <n v="12000"/>
    <n v="39000"/>
    <n v="9000"/>
    <s v="Kavya Pandey"/>
    <s v="Large"/>
    <x v="6"/>
    <s v="Kanpur"/>
    <s v="Credit Card"/>
    <x v="1"/>
  </r>
  <r>
    <s v="ORD1069"/>
    <d v="2025-01-24T00:00:00"/>
    <s v="C069"/>
    <s v="P069"/>
    <n v="6"/>
    <n v="1000"/>
    <n v="6000"/>
    <n v="0.05"/>
    <n v="300"/>
    <n v="2400"/>
    <n v="8100"/>
    <n v="2100"/>
    <s v="Yash Srivastava"/>
    <s v="Small"/>
    <x v="6"/>
    <s v="Kanpur"/>
    <s v="Cash on delivery"/>
    <x v="1"/>
  </r>
  <r>
    <s v="ORD1070"/>
    <d v="2025-01-24T00:00:00"/>
    <s v="C070"/>
    <s v="P070"/>
    <n v="7"/>
    <n v="800"/>
    <n v="5600"/>
    <n v="0.05"/>
    <n v="280"/>
    <n v="2240"/>
    <n v="7560"/>
    <n v="1960"/>
    <s v="Riya Dutta"/>
    <s v="Small"/>
    <x v="6"/>
    <s v="Lavasa"/>
    <s v="Cash on delivery"/>
    <x v="1"/>
  </r>
  <r>
    <s v="ORD1071"/>
    <d v="2025-01-24T00:00:00"/>
    <s v="C071"/>
    <s v="P071"/>
    <n v="8"/>
    <n v="200"/>
    <n v="1600"/>
    <n v="0"/>
    <n v="0"/>
    <n v="640"/>
    <n v="2240"/>
    <n v="640"/>
    <s v="Dev Sood"/>
    <s v="Micro"/>
    <x v="0"/>
    <s v="Ludhiana"/>
    <s v="Cash on delivery"/>
    <x v="1"/>
  </r>
  <r>
    <s v="ORD1072"/>
    <d v="2025-01-24T00:00:00"/>
    <s v="C072"/>
    <s v="P072"/>
    <n v="9"/>
    <n v="4590"/>
    <n v="41310"/>
    <n v="0.2"/>
    <n v="8262"/>
    <n v="16524"/>
    <n v="49572"/>
    <n v="8262"/>
    <s v="Nisha Verma"/>
    <s v="Large"/>
    <x v="8"/>
    <s v="Ahmedabad"/>
    <s v="Cash on delivery"/>
    <x v="1"/>
  </r>
  <r>
    <s v="ORD1073"/>
    <d v="2025-01-24T00:00:00"/>
    <s v="C073"/>
    <s v="P073"/>
    <n v="10"/>
    <n v="1375"/>
    <n v="13750"/>
    <n v="0"/>
    <n v="0"/>
    <n v="5500"/>
    <n v="19250"/>
    <n v="5500"/>
    <s v="Siddharth Agarwal"/>
    <s v="Medium"/>
    <x v="0"/>
    <s v="Faridabad"/>
    <s v="Cash on delivery"/>
    <x v="1"/>
  </r>
  <r>
    <s v="ORD1074"/>
    <d v="2025-01-24T00:00:00"/>
    <s v="C074"/>
    <s v="P074"/>
    <n v="1"/>
    <n v="30000"/>
    <n v="30000"/>
    <n v="0.05"/>
    <n v="1500"/>
    <n v="12000"/>
    <n v="40500"/>
    <n v="10500"/>
    <s v="Pooja Saxena"/>
    <s v="Large"/>
    <x v="3"/>
    <s v="Noida"/>
    <s v="Cash on delivery"/>
    <x v="1"/>
  </r>
  <r>
    <s v="ORD1075"/>
    <d v="2025-01-24T00:00:00"/>
    <s v="C075"/>
    <s v="P075"/>
    <n v="2"/>
    <n v="14000"/>
    <n v="28000"/>
    <n v="0"/>
    <n v="0"/>
    <n v="11200"/>
    <n v="39200"/>
    <n v="11200"/>
    <s v="Varun Tiwari"/>
    <s v="Large"/>
    <x v="3"/>
    <s v="Meerut"/>
    <s v="Cash on delivery"/>
    <x v="1"/>
  </r>
  <r>
    <s v="ORD1076"/>
    <d v="2025-01-24T00:00:00"/>
    <s v="C076"/>
    <s v="P076"/>
    <n v="3"/>
    <n v="1000"/>
    <n v="3000"/>
    <n v="0"/>
    <n v="0"/>
    <n v="1200"/>
    <n v="4200"/>
    <n v="1200"/>
    <s v="Simran Sinha"/>
    <s v="Micro"/>
    <x v="17"/>
    <s v="Patna"/>
    <s v="Cash on delivery"/>
    <x v="0"/>
  </r>
  <r>
    <s v="ORD1077"/>
    <d v="2025-01-24T00:00:00"/>
    <s v="C077"/>
    <s v="P077"/>
    <n v="4"/>
    <n v="250"/>
    <n v="1000"/>
    <n v="0"/>
    <n v="0"/>
    <n v="400"/>
    <n v="1400"/>
    <n v="400"/>
    <s v="Aniket Banerjee"/>
    <s v="Micro"/>
    <x v="3"/>
    <s v="Kolkata"/>
    <s v="Cash on delivery"/>
    <x v="0"/>
  </r>
  <r>
    <s v="ORD1078"/>
    <d v="2025-01-24T00:00:00"/>
    <s v="C078"/>
    <s v="P078"/>
    <n v="5"/>
    <n v="175"/>
    <n v="875"/>
    <n v="0"/>
    <n v="0"/>
    <n v="350"/>
    <n v="1225"/>
    <n v="350"/>
    <s v="Tanvi Vohra"/>
    <s v="Micro"/>
    <x v="7"/>
    <s v="Kolkata"/>
    <s v="UPI"/>
    <x v="0"/>
  </r>
  <r>
    <s v="ORD1079"/>
    <d v="2025-01-24T00:00:00"/>
    <s v="C079"/>
    <s v="P079"/>
    <n v="6"/>
    <n v="500"/>
    <n v="3000"/>
    <n v="0"/>
    <n v="0"/>
    <n v="1200"/>
    <n v="4200"/>
    <n v="1200"/>
    <s v="Manav Sharma"/>
    <s v="Micro"/>
    <x v="11"/>
    <s v="Delhi"/>
    <s v="UPI"/>
    <x v="0"/>
  </r>
  <r>
    <s v="ORD1080"/>
    <d v="2025-01-24T00:00:00"/>
    <s v="C080"/>
    <s v="P080"/>
    <n v="7"/>
    <n v="700"/>
    <n v="4900"/>
    <n v="0"/>
    <n v="0"/>
    <n v="1960"/>
    <n v="6860"/>
    <n v="1960"/>
    <s v="Shreya Bansal"/>
    <s v="Small"/>
    <x v="11"/>
    <s v="Amravati"/>
    <s v="UPI"/>
    <x v="0"/>
  </r>
  <r>
    <s v="ORD1081"/>
    <d v="2025-01-24T00:00:00"/>
    <s v="C081"/>
    <s v="P081"/>
    <n v="8"/>
    <n v="1200"/>
    <n v="9600"/>
    <n v="0"/>
    <n v="0"/>
    <n v="3840"/>
    <n v="13440"/>
    <n v="3840"/>
    <s v="Vivaan Chopra"/>
    <s v="Medium"/>
    <x v="8"/>
    <s v="Noida"/>
    <s v="UPI"/>
    <x v="1"/>
  </r>
  <r>
    <s v="ORD1082"/>
    <d v="2025-01-24T00:00:00"/>
    <s v="C082"/>
    <s v="P082"/>
    <n v="9"/>
    <n v="900"/>
    <n v="8100"/>
    <n v="0"/>
    <n v="0"/>
    <n v="3240"/>
    <n v="11340"/>
    <n v="3240"/>
    <s v="Avni Sethi"/>
    <s v="Medium"/>
    <x v="8"/>
    <s v="Noida"/>
    <s v="UPI"/>
    <x v="0"/>
  </r>
  <r>
    <s v="ORD1083"/>
    <d v="2025-01-24T00:00:00"/>
    <s v="C083"/>
    <s v="P083"/>
    <n v="1"/>
    <n v="105000"/>
    <n v="105000"/>
    <n v="0.05"/>
    <n v="5250"/>
    <n v="42000"/>
    <n v="141750"/>
    <n v="36750"/>
    <s v="Reyansh Jain"/>
    <s v="Wholesale"/>
    <x v="3"/>
    <s v="Gurugram"/>
    <s v="Credit Card"/>
    <x v="1"/>
  </r>
  <r>
    <s v="ORD1084"/>
    <d v="2025-01-24T00:00:00"/>
    <s v="C084"/>
    <s v="P084"/>
    <n v="2"/>
    <n v="12500"/>
    <n v="25000"/>
    <n v="0.15"/>
    <n v="3750"/>
    <n v="10000"/>
    <n v="31250"/>
    <n v="6250"/>
    <s v="Myra Mukherjee"/>
    <s v="Large"/>
    <x v="12"/>
    <s v="Gurugram"/>
    <s v="Credit Card"/>
    <x v="1"/>
  </r>
  <r>
    <s v="ORD1085"/>
    <d v="2025-01-24T00:00:00"/>
    <s v="C085"/>
    <s v="P085"/>
    <n v="3"/>
    <n v="350"/>
    <n v="1050"/>
    <n v="0"/>
    <n v="0"/>
    <n v="420"/>
    <n v="1470"/>
    <n v="420"/>
    <s v="Krish Dubey"/>
    <s v="Micro"/>
    <x v="18"/>
    <s v="Gurugram"/>
    <s v="UPI"/>
    <x v="0"/>
  </r>
  <r>
    <s v="ORD1086"/>
    <d v="2025-01-24T00:00:00"/>
    <s v="C086"/>
    <s v="P086"/>
    <n v="4"/>
    <n v="650"/>
    <n v="2600"/>
    <n v="0"/>
    <n v="0"/>
    <n v="1040"/>
    <n v="3640"/>
    <n v="1040"/>
    <s v="Kiara Naidu"/>
    <s v="Micro"/>
    <x v="18"/>
    <s v="Chennai"/>
    <s v="UPI"/>
    <x v="0"/>
  </r>
  <r>
    <s v="ORD1087"/>
    <d v="2025-01-24T00:00:00"/>
    <s v="C087"/>
    <s v="P087"/>
    <n v="5"/>
    <n v="1450"/>
    <n v="7250"/>
    <n v="0.1"/>
    <n v="725"/>
    <n v="2900"/>
    <n v="9425"/>
    <n v="2175"/>
    <s v="Atharv Malhotra"/>
    <s v="Small"/>
    <x v="19"/>
    <s v="Noida"/>
    <s v="Credit Card"/>
    <x v="0"/>
  </r>
  <r>
    <s v="ORD1088"/>
    <d v="2025-01-24T00:00:00"/>
    <s v="C088"/>
    <s v="P088"/>
    <n v="7"/>
    <n v="2500"/>
    <n v="17500"/>
    <n v="0.1"/>
    <n v="1750"/>
    <n v="7000"/>
    <n v="22750"/>
    <n v="5250"/>
    <s v="Anika Joshi"/>
    <s v="Medium"/>
    <x v="19"/>
    <s v="Mumbai"/>
    <s v="Credit Card"/>
    <x v="0"/>
  </r>
  <r>
    <s v="ORD1089"/>
    <d v="2025-01-24T00:00:00"/>
    <s v="C089"/>
    <s v="P089"/>
    <n v="8"/>
    <n v="799"/>
    <n v="6392"/>
    <n v="0"/>
    <n v="0"/>
    <n v="2556.8000000000002"/>
    <n v="8948.7999999999993"/>
    <n v="2556.7999999999993"/>
    <s v="Dhruv Chawla"/>
    <s v="Small"/>
    <x v="3"/>
    <s v="Delhi"/>
    <s v="UPI"/>
    <x v="1"/>
  </r>
  <r>
    <s v="ORD1090"/>
    <d v="2025-01-24T00:00:00"/>
    <s v="C090"/>
    <s v="P090"/>
    <n v="8"/>
    <n v="1200"/>
    <n v="9600"/>
    <n v="0.05"/>
    <n v="480"/>
    <n v="3840"/>
    <n v="12960"/>
    <n v="3360"/>
    <s v="Saanvi Goyal"/>
    <s v="Medium"/>
    <x v="3"/>
    <s v="Gurugram"/>
    <s v="UPI"/>
    <x v="1"/>
  </r>
  <r>
    <s v="ORD1091"/>
    <d v="2025-01-24T00:00:00"/>
    <s v="C091"/>
    <s v="P091"/>
    <n v="8"/>
    <n v="3450"/>
    <n v="27600"/>
    <n v="0.1"/>
    <n v="2760"/>
    <n v="11040"/>
    <n v="35880"/>
    <n v="8280"/>
    <s v="Rudra Pillai"/>
    <s v="Large"/>
    <x v="3"/>
    <s v="Coimbatore"/>
    <s v="Credit Card"/>
    <x v="1"/>
  </r>
  <r>
    <s v="ORD1092"/>
    <d v="2025-01-24T00:00:00"/>
    <s v="C092"/>
    <s v="P092"/>
    <n v="9"/>
    <n v="8100"/>
    <n v="72900"/>
    <n v="0.1"/>
    <n v="7290"/>
    <n v="29160"/>
    <n v="94770"/>
    <n v="21870"/>
    <s v="Navya Tripathi"/>
    <s v="Large"/>
    <x v="18"/>
    <s v="Ghaziabad"/>
    <s v="Credit Card"/>
    <x v="1"/>
  </r>
  <r>
    <s v="ORD1093"/>
    <d v="2025-01-24T00:00:00"/>
    <s v="C093"/>
    <s v="P093"/>
    <n v="6"/>
    <n v="550"/>
    <n v="3300"/>
    <n v="0"/>
    <n v="0"/>
    <n v="1320"/>
    <n v="4620"/>
    <n v="1320"/>
    <s v="Ayush Bhatt"/>
    <s v="Micro"/>
    <x v="0"/>
    <s v="Delhi"/>
    <s v="Credit Card"/>
    <x v="1"/>
  </r>
  <r>
    <s v="ORD1094"/>
    <d v="2025-01-25T00:00:00"/>
    <s v="C094"/>
    <s v="P094"/>
    <n v="5"/>
    <n v="1200"/>
    <n v="6000"/>
    <n v="0"/>
    <n v="0"/>
    <n v="2400"/>
    <n v="8400"/>
    <n v="2400"/>
    <s v="Tanya Kapoor"/>
    <s v="Small"/>
    <x v="3"/>
    <s v="Pune"/>
    <s v="UPI"/>
    <x v="1"/>
  </r>
  <r>
    <s v="ORD1095"/>
    <d v="2025-01-25T00:00:00"/>
    <s v="C095"/>
    <s v="P095"/>
    <n v="4"/>
    <n v="200"/>
    <n v="800"/>
    <n v="0"/>
    <n v="0"/>
    <n v="320"/>
    <n v="1120"/>
    <n v="320"/>
    <s v="Arnav Nair"/>
    <s v="Micro"/>
    <x v="0"/>
    <s v="Delhi"/>
    <s v="UPI"/>
    <x v="1"/>
  </r>
  <r>
    <s v="ORD1096"/>
    <d v="2025-01-25T00:00:00"/>
    <s v="C096"/>
    <s v="P096"/>
    <n v="3"/>
    <n v="550"/>
    <n v="1650"/>
    <n v="0"/>
    <n v="0"/>
    <n v="660"/>
    <n v="2310"/>
    <n v="660"/>
    <s v="Ira Rao"/>
    <s v="Micro"/>
    <x v="5"/>
    <s v="Jammu"/>
    <s v="UPI"/>
    <x v="1"/>
  </r>
  <r>
    <s v="ORD1097"/>
    <d v="2025-01-25T00:00:00"/>
    <s v="C097"/>
    <s v="P097"/>
    <n v="3"/>
    <n v="650"/>
    <n v="1950"/>
    <n v="0"/>
    <n v="0"/>
    <n v="780"/>
    <n v="2730"/>
    <n v="780"/>
    <s v="Shaurya Bhatia"/>
    <s v="Micro"/>
    <x v="3"/>
    <s v="Karnal"/>
    <s v="UPI"/>
    <x v="1"/>
  </r>
  <r>
    <s v="ORD1098"/>
    <d v="2025-01-25T00:00:00"/>
    <s v="C098"/>
    <s v="P098"/>
    <n v="8"/>
    <n v="3000"/>
    <n v="24000"/>
    <n v="0"/>
    <n v="0"/>
    <n v="9600"/>
    <n v="33600"/>
    <n v="9600"/>
    <s v="Mahi Menon"/>
    <s v="Large"/>
    <x v="3"/>
    <s v="Jaipur"/>
    <s v="Credit Card"/>
    <x v="1"/>
  </r>
  <r>
    <s v="ORD1099"/>
    <d v="2025-01-25T00:00:00"/>
    <s v="C099"/>
    <s v="P099"/>
    <n v="7"/>
    <n v="700"/>
    <n v="4900"/>
    <n v="0"/>
    <n v="0"/>
    <n v="1960"/>
    <n v="6860"/>
    <n v="1960"/>
    <s v="Parth Shukla"/>
    <s v="Small"/>
    <x v="0"/>
    <s v="Jaipur"/>
    <s v="UPI"/>
    <x v="1"/>
  </r>
  <r>
    <s v="ORD1100"/>
    <d v="2025-01-25T00:00:00"/>
    <s v="C100"/>
    <s v="P100"/>
    <n v="6"/>
    <n v="14500"/>
    <n v="87000"/>
    <n v="0.25"/>
    <n v="21750"/>
    <n v="34800"/>
    <n v="100050"/>
    <n v="13050"/>
    <s v="Aanya Ahuja"/>
    <s v="Industrial"/>
    <x v="3"/>
    <s v="Delhi"/>
    <s v="Credit Card"/>
    <x v="1"/>
  </r>
  <r>
    <s v="ORD1101"/>
    <d v="2025-01-25T00:00:00"/>
    <s v="C101"/>
    <s v="P101"/>
    <n v="5"/>
    <n v="12500"/>
    <n v="62500"/>
    <n v="0.2"/>
    <n v="12500"/>
    <n v="25000"/>
    <n v="75000"/>
    <n v="12500"/>
    <s v="Aarav Kapoor"/>
    <s v="Large"/>
    <x v="3"/>
    <s v="Delhi"/>
    <s v="Credit Card"/>
    <x v="1"/>
  </r>
  <r>
    <s v="ORD1102"/>
    <d v="2025-01-25T00:00:00"/>
    <s v="C102"/>
    <s v="P102"/>
    <n v="4"/>
    <n v="10500"/>
    <n v="42000"/>
    <n v="0.15"/>
    <n v="6300"/>
    <n v="16800"/>
    <n v="52500"/>
    <n v="10500"/>
    <s v="Aditi Nair"/>
    <s v="Large"/>
    <x v="3"/>
    <s v="Kochi"/>
    <s v="Credit Card"/>
    <x v="1"/>
  </r>
  <r>
    <s v="ORD1103"/>
    <d v="2025-01-25T00:00:00"/>
    <s v="C103"/>
    <s v="P103"/>
    <n v="5"/>
    <n v="25000"/>
    <n v="125000"/>
    <n v="0.15"/>
    <n v="18750"/>
    <n v="50000"/>
    <n v="156250"/>
    <n v="31250"/>
    <s v="Arjun Rao"/>
    <s v="Wholesale"/>
    <x v="3"/>
    <s v="pune"/>
    <s v="EMI "/>
    <x v="1"/>
  </r>
  <r>
    <s v="ORD1104"/>
    <d v="2025-01-25T00:00:00"/>
    <s v="C104"/>
    <s v="P104"/>
    <n v="3"/>
    <n v="12000"/>
    <n v="36000"/>
    <n v="0.1"/>
    <n v="3600"/>
    <n v="14400"/>
    <n v="46800"/>
    <n v="10800"/>
    <s v="Ananya Bhatia"/>
    <s v="Large"/>
    <x v="3"/>
    <s v="Delhi"/>
    <s v="No Cost EMI"/>
    <x v="1"/>
  </r>
  <r>
    <s v="ORD1105"/>
    <d v="2025-01-25T00:00:00"/>
    <s v="C105"/>
    <s v="P105"/>
    <n v="2"/>
    <n v="20000"/>
    <n v="40000"/>
    <n v="0.25"/>
    <n v="10000"/>
    <n v="16000"/>
    <n v="46000"/>
    <n v="6000"/>
    <s v="Aditya Menon"/>
    <s v="Large"/>
    <x v="3"/>
    <s v="ghaziabad"/>
    <s v="Credit Card"/>
    <x v="1"/>
  </r>
  <r>
    <s v="ORD1106"/>
    <d v="2025-01-25T00:00:00"/>
    <s v="C106"/>
    <s v="P106"/>
    <n v="3"/>
    <n v="30000"/>
    <n v="90000"/>
    <n v="0.16"/>
    <n v="14400"/>
    <n v="36000"/>
    <n v="111600"/>
    <n v="21600"/>
    <s v="Ishita Shukla"/>
    <s v="Industrial"/>
    <x v="3"/>
    <s v="Faridabad"/>
    <s v="EMI "/>
    <x v="1"/>
  </r>
  <r>
    <s v="ORD1107"/>
    <d v="2025-01-25T00:00:00"/>
    <s v="C107"/>
    <s v="P107"/>
    <n v="4"/>
    <n v="40000"/>
    <n v="160000"/>
    <n v="0.05"/>
    <n v="8000"/>
    <n v="64000"/>
    <n v="216000"/>
    <n v="56000"/>
    <s v="Kabir Ahuja"/>
    <s v="Wholesale"/>
    <x v="3"/>
    <s v="Gurugram"/>
    <s v="EMI "/>
    <x v="1"/>
  </r>
  <r>
    <s v="ORD1108"/>
    <d v="2025-01-25T00:00:00"/>
    <s v="C108"/>
    <s v="P108"/>
    <n v="4"/>
    <n v="32000"/>
    <n v="128000"/>
    <n v="0.05"/>
    <n v="6400"/>
    <n v="51200"/>
    <n v="172800"/>
    <n v="44800"/>
    <s v="Meera Singh"/>
    <s v="Wholesale"/>
    <x v="3"/>
    <s v="Delhi"/>
    <s v="No Cost EMI"/>
    <x v="1"/>
  </r>
  <r>
    <s v="ORD1109"/>
    <d v="2025-01-25T00:00:00"/>
    <s v="C109"/>
    <s v="P109"/>
    <n v="2"/>
    <n v="70000"/>
    <n v="140000"/>
    <n v="0.05"/>
    <n v="7000"/>
    <n v="56000"/>
    <n v="189000"/>
    <n v="49000"/>
    <s v="Rohan Reddy"/>
    <s v="Wholesale"/>
    <x v="3"/>
    <s v="Bangalore"/>
    <s v="No Cost EMI"/>
    <x v="1"/>
  </r>
  <r>
    <s v="ORD1110"/>
    <d v="2025-01-25T00:00:00"/>
    <s v="C110"/>
    <s v="P110"/>
    <n v="11"/>
    <n v="15600"/>
    <n v="171600"/>
    <n v="0.1"/>
    <n v="17160"/>
    <n v="68640"/>
    <n v="223080"/>
    <n v="51480"/>
    <s v="Priya Das"/>
    <s v="Wholesale"/>
    <x v="3"/>
    <s v="Kolkata"/>
    <s v="EMI "/>
    <x v="1"/>
  </r>
  <r>
    <s v="ORD1111"/>
    <d v="2025-01-25T00:00:00"/>
    <s v="C111"/>
    <s v="P111"/>
    <n v="22"/>
    <n v="25000"/>
    <n v="550000"/>
    <n v="0.25"/>
    <n v="137500"/>
    <n v="220000"/>
    <n v="632500"/>
    <n v="82500"/>
    <s v="Rahul Arora"/>
    <s v="Wholesale"/>
    <x v="3"/>
    <s v="Gurugram"/>
    <s v="Buy Now Pay later"/>
    <x v="1"/>
  </r>
  <r>
    <s v="ORD1112"/>
    <d v="2025-01-25T00:00:00"/>
    <s v="C112"/>
    <s v="P112"/>
    <n v="13"/>
    <n v="14000"/>
    <n v="182000"/>
    <n v="0.1"/>
    <n v="18200"/>
    <n v="72800"/>
    <n v="236600"/>
    <n v="54600"/>
    <s v="Sneha Desai"/>
    <s v="Wholesale"/>
    <x v="20"/>
    <s v="Ghaziabad"/>
    <s v="Buy Now Pay later"/>
    <x v="1"/>
  </r>
  <r>
    <s v="ORD1113"/>
    <d v="2025-01-25T00:00:00"/>
    <s v="C113"/>
    <s v="P113"/>
    <n v="15"/>
    <n v="7500"/>
    <n v="112500"/>
    <n v="0.05"/>
    <n v="5625"/>
    <n v="45000"/>
    <n v="151875"/>
    <n v="39375"/>
    <s v="Vihaan Thakur"/>
    <s v="Wholesale"/>
    <x v="20"/>
    <s v="Faridabad"/>
    <s v="No Cost EMI"/>
    <x v="1"/>
  </r>
  <r>
    <s v="ORD1114"/>
    <d v="2025-01-25T00:00:00"/>
    <s v="C114"/>
    <s v="P114"/>
    <n v="15"/>
    <n v="4500"/>
    <n v="67500"/>
    <n v="0.1"/>
    <n v="6750"/>
    <n v="27000"/>
    <n v="87750"/>
    <n v="20250"/>
    <s v="Diya Kohli"/>
    <s v="Large"/>
    <x v="20"/>
    <s v="Delhi"/>
    <s v="EMI "/>
    <x v="1"/>
  </r>
  <r>
    <s v="ORD1115"/>
    <d v="2025-01-25T00:00:00"/>
    <s v="C115"/>
    <s v="P115"/>
    <n v="16"/>
    <n v="1450"/>
    <n v="23200"/>
    <n v="0.05"/>
    <n v="1160"/>
    <n v="9280"/>
    <n v="31320"/>
    <n v="8120"/>
    <s v="Karan Mehta"/>
    <s v="Large"/>
    <x v="20"/>
    <s v="Surat"/>
    <s v="UPI"/>
    <x v="1"/>
  </r>
  <r>
    <s v="ORD1116"/>
    <d v="2025-01-25T00:00:00"/>
    <s v="C116"/>
    <s v="P116"/>
    <n v="2"/>
    <n v="12500"/>
    <n v="25000"/>
    <n v="0.15"/>
    <n v="3750"/>
    <n v="10000"/>
    <n v="31250"/>
    <n v="6250"/>
    <s v="Neha Patel"/>
    <s v="Large"/>
    <x v="3"/>
    <s v="Surat"/>
    <s v="Credit Card"/>
    <x v="1"/>
  </r>
  <r>
    <s v="ORD1117"/>
    <d v="2025-01-25T00:00:00"/>
    <s v="C117"/>
    <s v="P117"/>
    <n v="3"/>
    <n v="3500"/>
    <n v="10500"/>
    <n v="0"/>
    <n v="0"/>
    <n v="4200"/>
    <n v="14700"/>
    <n v="4200"/>
    <s v="Aryan Khan"/>
    <s v="Medium"/>
    <x v="3"/>
    <s v="Mumbai"/>
    <s v="Credit Card"/>
    <x v="1"/>
  </r>
  <r>
    <s v="ORD1118"/>
    <d v="2025-01-25T00:00:00"/>
    <s v="C118"/>
    <s v="P118"/>
    <n v="4"/>
    <n v="124500"/>
    <n v="498000"/>
    <n v="0.15"/>
    <n v="74700"/>
    <n v="199200"/>
    <n v="622500"/>
    <n v="124500"/>
    <s v="Kavya Khanna"/>
    <s v="Wholesale"/>
    <x v="3"/>
    <s v="Delhi"/>
    <s v="Credit Card"/>
    <x v="0"/>
  </r>
  <r>
    <s v="ORD1119"/>
    <d v="2025-01-25T00:00:00"/>
    <s v="C119"/>
    <s v="P119"/>
    <n v="5"/>
    <n v="15200"/>
    <n v="76000"/>
    <n v="0.05"/>
    <n v="3800"/>
    <n v="30400"/>
    <n v="102600"/>
    <n v="26600"/>
    <s v="Yash Kulkarni"/>
    <s v="Industrial"/>
    <x v="3"/>
    <s v="Karnal"/>
    <s v="UPI"/>
    <x v="0"/>
  </r>
  <r>
    <s v="ORD1120"/>
    <d v="2025-01-25T00:00:00"/>
    <s v="C120"/>
    <s v="P120"/>
    <n v="6"/>
    <n v="23565"/>
    <n v="141390"/>
    <n v="0.15"/>
    <n v="21208.5"/>
    <n v="56556"/>
    <n v="176737.5"/>
    <n v="35347.5"/>
    <s v="Riya Yadav"/>
    <s v="Wholesale"/>
    <x v="3"/>
    <s v="Jind"/>
    <s v="Credit Card"/>
    <x v="0"/>
  </r>
  <r>
    <s v="ORD1121"/>
    <d v="2025-01-26T00:00:00"/>
    <s v="C121"/>
    <s v="P121"/>
    <n v="7"/>
    <n v="70000"/>
    <n v="490000"/>
    <n v="0.25"/>
    <n v="122500"/>
    <n v="196000"/>
    <n v="563500"/>
    <n v="73500"/>
    <s v="Dev Mathur"/>
    <s v="Wholesale"/>
    <x v="3"/>
    <s v="Rohtak"/>
    <s v="Credit Card"/>
    <x v="0"/>
  </r>
  <r>
    <s v="ORD1122"/>
    <d v="2025-01-26T00:00:00"/>
    <s v="C122"/>
    <s v="P122"/>
    <n v="8"/>
    <n v="8000"/>
    <n v="64000"/>
    <n v="0.15"/>
    <n v="9600"/>
    <n v="25600"/>
    <n v="80000"/>
    <n v="16000"/>
    <s v="Nisha Gupta"/>
    <s v="Large"/>
    <x v="19"/>
    <s v="Varanasi"/>
    <s v="Credit Card"/>
    <x v="0"/>
  </r>
  <r>
    <s v="ORD1123"/>
    <d v="2025-01-26T00:00:00"/>
    <s v="C123"/>
    <s v="P123"/>
    <n v="9"/>
    <n v="11000"/>
    <n v="99000"/>
    <n v="0.25"/>
    <n v="24750"/>
    <n v="39600"/>
    <n v="113850"/>
    <n v="14850"/>
    <s v="Siddharth Iyer"/>
    <s v="Industrial"/>
    <x v="19"/>
    <s v="Vishakhapatnam"/>
    <s v="Credit Card"/>
    <x v="0"/>
  </r>
  <r>
    <s v="ORD1124"/>
    <d v="2025-01-26T00:00:00"/>
    <s v="C124"/>
    <s v="P124"/>
    <n v="8"/>
    <n v="14000"/>
    <n v="112000"/>
    <n v="0.15"/>
    <n v="16800"/>
    <n v="44800"/>
    <n v="140000"/>
    <n v="28000"/>
    <s v="Pooja Mishra"/>
    <s v="Wholesale"/>
    <x v="19"/>
    <s v="Ayodhya"/>
    <s v="Credit Card"/>
    <x v="0"/>
  </r>
  <r>
    <s v="ORD1125"/>
    <d v="2025-01-26T00:00:00"/>
    <s v="C125"/>
    <s v="P125"/>
    <n v="9"/>
    <n v="17000"/>
    <n v="153000"/>
    <n v="0.25"/>
    <n v="38250"/>
    <n v="61200"/>
    <n v="175950"/>
    <n v="22950"/>
    <s v="Varun Pandey"/>
    <s v="Wholesale"/>
    <x v="19"/>
    <s v="Ayodhya"/>
    <s v="EMI "/>
    <x v="0"/>
  </r>
  <r>
    <s v="ORD1126"/>
    <d v="2025-01-26T00:00:00"/>
    <s v="C126"/>
    <s v="P126"/>
    <n v="8"/>
    <n v="20000"/>
    <n v="160000"/>
    <n v="0.15"/>
    <n v="24000"/>
    <n v="64000"/>
    <n v="200000"/>
    <n v="40000"/>
    <s v="Simran Srivastava"/>
    <s v="Wholesale"/>
    <x v="21"/>
    <s v="Ghaziabad"/>
    <s v="EMI "/>
    <x v="0"/>
  </r>
  <r>
    <s v="ORD1127"/>
    <d v="2025-01-26T00:00:00"/>
    <s v="C127"/>
    <s v="P127"/>
    <n v="9"/>
    <n v="23000"/>
    <n v="207000"/>
    <n v="0.25"/>
    <n v="51750"/>
    <n v="82800"/>
    <n v="238050"/>
    <n v="31050"/>
    <s v="Aniket Dutta"/>
    <s v="Wholesale"/>
    <x v="19"/>
    <s v="Noida"/>
    <s v="EMI "/>
    <x v="0"/>
  </r>
  <r>
    <s v="ORD1128"/>
    <d v="2025-01-26T00:00:00"/>
    <s v="C128"/>
    <s v="P128"/>
    <n v="8"/>
    <n v="26000"/>
    <n v="208000"/>
    <n v="0.15"/>
    <n v="31200"/>
    <n v="83200"/>
    <n v="260000"/>
    <n v="52000"/>
    <s v="Tanvi Sood"/>
    <s v="Wholesale"/>
    <x v="19"/>
    <s v="Chandigarh"/>
    <s v="EMI "/>
    <x v="0"/>
  </r>
  <r>
    <s v="ORD1129"/>
    <d v="2025-01-26T00:00:00"/>
    <s v="C129"/>
    <s v="P129"/>
    <n v="9"/>
    <n v="29000"/>
    <n v="261000"/>
    <n v="0.25"/>
    <n v="65250"/>
    <n v="104400"/>
    <n v="300150"/>
    <n v="39150"/>
    <s v="Manav Verma"/>
    <s v="Wholesale"/>
    <x v="19"/>
    <s v="Chandigarh"/>
    <s v="EMI "/>
    <x v="0"/>
  </r>
  <r>
    <s v="ORD1130"/>
    <d v="2025-01-26T00:00:00"/>
    <s v="C130"/>
    <s v="P130"/>
    <n v="9"/>
    <n v="32000"/>
    <n v="288000"/>
    <n v="0.15"/>
    <n v="43200"/>
    <n v="115200"/>
    <n v="360000"/>
    <n v="72000"/>
    <s v="Shreya Agarwal"/>
    <s v="Wholesale"/>
    <x v="3"/>
    <s v="Delhi"/>
    <s v="EMI "/>
    <x v="1"/>
  </r>
  <r>
    <s v="ORD1131"/>
    <d v="2025-01-26T00:00:00"/>
    <s v="C131"/>
    <s v="P131"/>
    <n v="9"/>
    <n v="35000"/>
    <n v="315000"/>
    <n v="0.02"/>
    <n v="6300"/>
    <n v="126000"/>
    <n v="434700"/>
    <n v="119700"/>
    <s v="Vivaan Saxena"/>
    <s v="Wholesale"/>
    <x v="19"/>
    <s v="Delhi"/>
    <s v="EMI "/>
    <x v="1"/>
  </r>
  <r>
    <s v="ORD1132"/>
    <d v="2025-01-26T00:00:00"/>
    <s v="C132"/>
    <s v="P132"/>
    <n v="8"/>
    <n v="38000"/>
    <n v="304000"/>
    <n v="0.02"/>
    <n v="6080"/>
    <n v="121600"/>
    <n v="419520"/>
    <n v="115520"/>
    <s v="Avni Tiwari"/>
    <s v="Wholesale"/>
    <x v="8"/>
    <s v="Delhi"/>
    <s v="EMI "/>
    <x v="1"/>
  </r>
  <r>
    <s v="ORD1133"/>
    <d v="2025-01-26T00:00:00"/>
    <s v="C133"/>
    <s v="P133"/>
    <n v="7"/>
    <n v="41000"/>
    <n v="287000"/>
    <n v="0.2"/>
    <n v="57400"/>
    <n v="114800"/>
    <n v="344400"/>
    <n v="57400"/>
    <s v="Reyansh Sinha"/>
    <s v="Wholesale"/>
    <x v="8"/>
    <s v="Delhi"/>
    <s v="EMI "/>
    <x v="1"/>
  </r>
  <r>
    <s v="ORD1134"/>
    <d v="2025-01-26T00:00:00"/>
    <s v="C134"/>
    <s v="P134"/>
    <n v="2"/>
    <n v="47500"/>
    <n v="95000"/>
    <n v="0.1"/>
    <n v="9500"/>
    <n v="38000"/>
    <n v="123500"/>
    <n v="28500"/>
    <s v="Myra Banerjee"/>
    <s v="Industrial"/>
    <x v="8"/>
    <s v="Kolkata"/>
    <s v="EMI "/>
    <x v="1"/>
  </r>
  <r>
    <s v="ORD1135"/>
    <d v="2025-01-26T00:00:00"/>
    <s v="C135"/>
    <s v="P135"/>
    <n v="2"/>
    <n v="49000"/>
    <n v="98000"/>
    <n v="0.15"/>
    <n v="14700"/>
    <n v="39200"/>
    <n v="122500"/>
    <n v="24500"/>
    <s v="Krish Vohra"/>
    <s v="Industrial"/>
    <x v="8"/>
    <s v="Mumbai"/>
    <s v="EMI "/>
    <x v="1"/>
  </r>
  <r>
    <s v="ORD1136"/>
    <d v="2025-01-26T00:00:00"/>
    <s v="C136"/>
    <s v="P136"/>
    <n v="2"/>
    <n v="51500"/>
    <n v="103000"/>
    <n v="0.2"/>
    <n v="20600"/>
    <n v="41200"/>
    <n v="123600"/>
    <n v="20600"/>
    <s v="Kiara Sharma"/>
    <s v="Industrial"/>
    <x v="8"/>
    <s v="Pune"/>
    <s v="Credit Card"/>
    <x v="1"/>
  </r>
  <r>
    <s v="ORD1137"/>
    <d v="2025-01-26T00:00:00"/>
    <s v="C137"/>
    <s v="P137"/>
    <n v="1"/>
    <n v="70000"/>
    <n v="70000"/>
    <n v="0.125"/>
    <n v="8750"/>
    <n v="28000"/>
    <n v="89250"/>
    <n v="19250"/>
    <s v="Atharv Bansal"/>
    <s v="Large"/>
    <x v="3"/>
    <s v="Chandigarh"/>
    <s v="EMI "/>
    <x v="1"/>
  </r>
  <r>
    <s v="ORD1138"/>
    <d v="2025-01-26T00:00:00"/>
    <s v="C138"/>
    <s v="P138"/>
    <n v="1"/>
    <n v="81000"/>
    <n v="81000"/>
    <n v="0.2"/>
    <n v="16200"/>
    <n v="32400"/>
    <n v="97200"/>
    <n v="16200"/>
    <s v="Anika Chopra"/>
    <s v="Large"/>
    <x v="3"/>
    <s v="Noida"/>
    <s v="EMI "/>
    <x v="1"/>
  </r>
  <r>
    <s v="ORD1139"/>
    <d v="2025-01-26T00:00:00"/>
    <s v="C139"/>
    <s v="P139"/>
    <n v="2"/>
    <n v="56000"/>
    <n v="112000"/>
    <n v="0.25"/>
    <n v="28000"/>
    <n v="44800"/>
    <n v="128800"/>
    <n v="16800"/>
    <s v="Dhruv Sethi"/>
    <s v="Wholesale"/>
    <x v="19"/>
    <s v="Ghaziabad"/>
    <s v="EMI "/>
    <x v="1"/>
  </r>
  <r>
    <s v="ORD1140"/>
    <d v="2025-01-26T00:00:00"/>
    <s v="C140"/>
    <s v="P140"/>
    <n v="1"/>
    <n v="35000"/>
    <n v="35000"/>
    <n v="0.05"/>
    <n v="1750"/>
    <n v="14000"/>
    <n v="47250"/>
    <n v="12250"/>
    <s v="Saanvi Jain"/>
    <s v="Large"/>
    <x v="3"/>
    <s v="Kanpur"/>
    <s v="Credit Card"/>
    <x v="1"/>
  </r>
  <r>
    <s v="ORD1141"/>
    <d v="2025-01-26T00:00:00"/>
    <s v="C141"/>
    <s v="P141"/>
    <n v="3"/>
    <n v="24500"/>
    <n v="73500"/>
    <n v="0.12"/>
    <n v="8820"/>
    <n v="29400"/>
    <n v="94080"/>
    <n v="20580"/>
    <s v="Rudra Mukherjee"/>
    <s v="Large"/>
    <x v="20"/>
    <s v="Aurangabad"/>
    <s v="EMI "/>
    <x v="1"/>
  </r>
  <r>
    <s v="ORD1142"/>
    <d v="2025-01-26T00:00:00"/>
    <s v="C142"/>
    <s v="P142"/>
    <n v="1"/>
    <n v="245000"/>
    <n v="245000"/>
    <n v="0.25"/>
    <n v="61250"/>
    <n v="98000"/>
    <n v="281750"/>
    <n v="36750"/>
    <s v="Navya Dubey"/>
    <s v="Wholesale"/>
    <x v="3"/>
    <s v="Aligarh "/>
    <s v="EMI "/>
    <x v="1"/>
  </r>
  <r>
    <s v="ORD1143"/>
    <d v="2025-01-26T00:00:00"/>
    <s v="C143"/>
    <s v="P143"/>
    <n v="2"/>
    <n v="34599"/>
    <n v="69198"/>
    <n v="0.25"/>
    <n v="17299.5"/>
    <n v="27679.200000000001"/>
    <n v="79577.7"/>
    <n v="10379.699999999997"/>
    <s v="Ayush Naidu"/>
    <s v="Large"/>
    <x v="3"/>
    <s v="Vizag"/>
    <s v="EMI "/>
    <x v="1"/>
  </r>
  <r>
    <s v="ORD1144"/>
    <d v="2025-01-26T00:00:00"/>
    <s v="C144"/>
    <s v="P144"/>
    <n v="3"/>
    <n v="45612"/>
    <n v="136836"/>
    <n v="0.2"/>
    <n v="27367.200000000001"/>
    <n v="54734.400000000001"/>
    <n v="164203.19999999998"/>
    <n v="27367.199999999983"/>
    <s v="Tanya Malhotra"/>
    <s v="Wholesale"/>
    <x v="3"/>
    <s v="Faridabad"/>
    <s v="Credit Card"/>
    <x v="1"/>
  </r>
  <r>
    <s v="ORD1145"/>
    <d v="2025-01-26T00:00:00"/>
    <s v="C145"/>
    <s v="P145"/>
    <n v="4"/>
    <n v="12345"/>
    <n v="49380"/>
    <n v="0.15"/>
    <n v="7407"/>
    <n v="19752"/>
    <n v="61725"/>
    <n v="12345"/>
    <s v="Arnav Joshi"/>
    <s v="Large"/>
    <x v="8"/>
    <s v="Kannauj"/>
    <s v="EMI "/>
    <x v="1"/>
  </r>
  <r>
    <s v="ORD1146"/>
    <d v="2025-01-26T00:00:00"/>
    <s v="C146"/>
    <s v="P146"/>
    <n v="1"/>
    <n v="30000"/>
    <n v="30000"/>
    <n v="0.1"/>
    <n v="3000"/>
    <n v="12000"/>
    <n v="39000"/>
    <n v="9000"/>
    <s v="Ira Chawla"/>
    <s v="Large"/>
    <x v="3"/>
    <s v="Rohtak"/>
    <s v="EMI "/>
    <x v="1"/>
  </r>
  <r>
    <s v="ORD1147"/>
    <d v="2025-01-26T00:00:00"/>
    <s v="C147"/>
    <s v="P147"/>
    <n v="3"/>
    <n v="31000"/>
    <n v="93000"/>
    <n v="0.14000000000000001"/>
    <n v="13020.000000000002"/>
    <n v="37200"/>
    <n v="117180"/>
    <n v="24180"/>
    <s v="Shaurya Goyal"/>
    <s v="Industrial"/>
    <x v="8"/>
    <s v="Sonipat"/>
    <s v="EMI "/>
    <x v="1"/>
  </r>
  <r>
    <s v="ORD1148"/>
    <d v="2025-01-26T00:00:00"/>
    <s v="C148"/>
    <s v="P148"/>
    <n v="3"/>
    <n v="32000"/>
    <n v="96000"/>
    <n v="0.25"/>
    <n v="24000"/>
    <n v="38400"/>
    <n v="110400"/>
    <n v="14400"/>
    <s v="Mahi Pillai"/>
    <s v="Industrial"/>
    <x v="19"/>
    <s v="Vizag"/>
    <s v="EMI "/>
    <x v="1"/>
  </r>
  <r>
    <s v="ORD1149"/>
    <d v="2025-01-26T00:00:00"/>
    <s v="C149"/>
    <s v="P149"/>
    <n v="3"/>
    <n v="33000"/>
    <n v="99000"/>
    <n v="0.35"/>
    <n v="34650"/>
    <n v="39600"/>
    <n v="103950"/>
    <n v="4950"/>
    <s v="Parth Tripathi"/>
    <s v="Industrial"/>
    <x v="8"/>
    <s v="Panipat"/>
    <s v="EMI "/>
    <x v="1"/>
  </r>
  <r>
    <s v="ORD1150"/>
    <d v="2025-01-26T00:00:00"/>
    <s v="C150"/>
    <s v="P150"/>
    <n v="3"/>
    <n v="34000"/>
    <n v="102000"/>
    <n v="0.25"/>
    <n v="25500"/>
    <n v="40800"/>
    <n v="117300"/>
    <n v="15300"/>
    <s v="Aanya Bhatt"/>
    <s v="Industrial"/>
    <x v="8"/>
    <s v="Baghpat"/>
    <s v="EMI "/>
    <x v="1"/>
  </r>
  <r>
    <s v="ORD1151"/>
    <d v="2025-01-26T00:00:00"/>
    <s v="C151"/>
    <s v="P151"/>
    <n v="4"/>
    <n v="35000"/>
    <n v="140000"/>
    <n v="0.25"/>
    <n v="35000"/>
    <n v="56000"/>
    <n v="161000"/>
    <n v="21000"/>
    <s v="Aarav Malhotra"/>
    <s v="Wholesale"/>
    <x v="8"/>
    <s v="ghaziabad"/>
    <s v="Credit Card"/>
    <x v="1"/>
  </r>
  <r>
    <s v="ORD1152"/>
    <d v="2025-01-26T00:00:00"/>
    <s v="C152"/>
    <s v="P152"/>
    <n v="4"/>
    <n v="36000"/>
    <n v="144000"/>
    <n v="0.1"/>
    <n v="14400"/>
    <n v="57600"/>
    <n v="187200"/>
    <n v="43200"/>
    <s v="Aditi Joshi"/>
    <s v="Wholesale"/>
    <x v="8"/>
    <s v="Delhi"/>
    <s v="Credit Card"/>
    <x v="1"/>
  </r>
  <r>
    <s v="ORD1153"/>
    <d v="2025-01-26T00:00:00"/>
    <s v="C153"/>
    <s v="P153"/>
    <n v="4"/>
    <n v="37000"/>
    <n v="148000"/>
    <n v="0.15"/>
    <n v="22200"/>
    <n v="59200"/>
    <n v="185000"/>
    <n v="37000"/>
    <s v="Arjun Chawla"/>
    <s v="Wholesale"/>
    <x v="8"/>
    <s v="Mumbai"/>
    <s v="EMI "/>
    <x v="1"/>
  </r>
  <r>
    <s v="ORD1154"/>
    <d v="2025-01-26T00:00:00"/>
    <s v="C154"/>
    <s v="P154"/>
    <n v="4"/>
    <n v="38000"/>
    <n v="152000"/>
    <n v="0.1"/>
    <n v="15200"/>
    <n v="60800"/>
    <n v="197600"/>
    <n v="45600"/>
    <s v="Ananya Goyal"/>
    <s v="Wholesale"/>
    <x v="8"/>
    <s v="Meerut"/>
    <s v="EMI "/>
    <x v="1"/>
  </r>
  <r>
    <s v="ORD1155"/>
    <d v="2025-01-26T00:00:00"/>
    <s v="C155"/>
    <s v="P155"/>
    <n v="4"/>
    <n v="39000"/>
    <n v="156000"/>
    <n v="0.13"/>
    <n v="20280"/>
    <n v="62400"/>
    <n v="198120"/>
    <n v="42120"/>
    <s v="Aditya Pillai"/>
    <s v="Wholesale"/>
    <x v="8"/>
    <s v="Gurugram"/>
    <s v="EMI "/>
    <x v="1"/>
  </r>
  <r>
    <s v="ORD1156"/>
    <d v="2025-01-26T00:00:00"/>
    <s v="C156"/>
    <s v="P156"/>
    <n v="4"/>
    <n v="40000"/>
    <n v="160000"/>
    <n v="0.14000000000000001"/>
    <n v="22400.000000000004"/>
    <n v="64000"/>
    <n v="201600"/>
    <n v="41600"/>
    <s v="Ishita Dagar"/>
    <s v="Wholesale"/>
    <x v="8"/>
    <s v="Rohtak"/>
    <s v="Buy Now Pay later"/>
    <x v="1"/>
  </r>
  <r>
    <s v="ORD1157"/>
    <d v="2025-01-26T00:00:00"/>
    <s v="C157"/>
    <s v="P157"/>
    <n v="5"/>
    <n v="41000"/>
    <n v="205000"/>
    <n v="0.16"/>
    <n v="32800"/>
    <n v="82000"/>
    <n v="254200"/>
    <n v="49200"/>
    <s v="Kabir Bhatt"/>
    <s v="Wholesale"/>
    <x v="8"/>
    <s v="Srinagar"/>
    <s v="EMI "/>
    <x v="1"/>
  </r>
  <r>
    <s v="ORD1158"/>
    <d v="2025-01-26T00:00:00"/>
    <s v="C158"/>
    <s v="P158"/>
    <n v="5"/>
    <n v="42000"/>
    <n v="210000"/>
    <n v="0.12"/>
    <n v="25200"/>
    <n v="84000"/>
    <n v="268800"/>
    <n v="58800"/>
    <s v="Meera Kapoor"/>
    <s v="Wholesale"/>
    <x v="8"/>
    <s v="Srinagar"/>
    <s v="EMI "/>
    <x v="1"/>
  </r>
  <r>
    <s v="ORD1159"/>
    <d v="2025-01-26T00:00:00"/>
    <s v="C159"/>
    <s v="P159"/>
    <n v="5"/>
    <n v="43000"/>
    <n v="215000"/>
    <n v="0.11"/>
    <n v="23650"/>
    <n v="86000"/>
    <n v="277350"/>
    <n v="62350"/>
    <s v="Rohan Nair"/>
    <s v="Wholesale"/>
    <x v="8"/>
    <s v="Vizag"/>
    <s v="Credit Card"/>
    <x v="1"/>
  </r>
  <r>
    <s v="ORD1160"/>
    <d v="2025-01-26T00:00:00"/>
    <s v="C160"/>
    <s v="P160"/>
    <n v="5"/>
    <n v="44000"/>
    <n v="220000"/>
    <n v="0.4"/>
    <n v="88000"/>
    <n v="88000"/>
    <n v="220000"/>
    <n v="0"/>
    <s v="Priya Rao"/>
    <s v="Wholesale"/>
    <x v="8"/>
    <s v="Faridabad"/>
    <s v="EMI "/>
    <x v="1"/>
  </r>
  <r>
    <s v="ORD1161"/>
    <d v="2025-01-26T00:00:00"/>
    <s v="C161"/>
    <s v="P161"/>
    <n v="5"/>
    <n v="45000"/>
    <n v="225000"/>
    <n v="0.4"/>
    <n v="90000"/>
    <n v="90000"/>
    <n v="225000"/>
    <n v="0"/>
    <s v="Rahul Bhatia"/>
    <s v="Wholesale"/>
    <x v="8"/>
    <s v="Chandigarh"/>
    <s v="Credit Card"/>
    <x v="1"/>
  </r>
  <r>
    <s v="ORD1162"/>
    <d v="2025-01-26T00:00:00"/>
    <s v="C162"/>
    <s v="P162"/>
    <n v="5"/>
    <n v="46000"/>
    <n v="230000"/>
    <n v="0.4"/>
    <n v="92000"/>
    <n v="92000"/>
    <n v="230000"/>
    <n v="0"/>
    <s v="Sneha Menon"/>
    <s v="Wholesale"/>
    <x v="19"/>
    <s v="Kannauj"/>
    <s v="EMI "/>
    <x v="1"/>
  </r>
  <r>
    <s v="ORD1163"/>
    <d v="2025-01-26T00:00:00"/>
    <s v="C163"/>
    <s v="P163"/>
    <n v="5"/>
    <n v="47000"/>
    <n v="235000"/>
    <n v="0.2"/>
    <n v="47000"/>
    <n v="94000"/>
    <n v="282000"/>
    <n v="47000"/>
    <s v="Vihaan Shukla"/>
    <s v="Wholesale"/>
    <x v="19"/>
    <s v="Faridabad"/>
    <s v="EMI "/>
    <x v="1"/>
  </r>
  <r>
    <s v="ORD1164"/>
    <d v="2025-01-27T00:00:00"/>
    <s v="C164"/>
    <s v="P164"/>
    <n v="5"/>
    <n v="48000"/>
    <n v="240000"/>
    <n v="4.4999999999999998E-2"/>
    <n v="10800"/>
    <n v="96000"/>
    <n v="325200"/>
    <n v="85200"/>
    <s v="Diya Ahuja"/>
    <s v="Wholesale"/>
    <x v="19"/>
    <s v="Chandigarh"/>
    <s v="EMI "/>
    <x v="1"/>
  </r>
  <r>
    <s v="ORD1165"/>
    <d v="2025-01-27T00:00:00"/>
    <s v="C165"/>
    <s v="P165"/>
    <n v="5"/>
    <n v="49000"/>
    <n v="245000"/>
    <n v="5.5E-2"/>
    <n v="13475"/>
    <n v="98000"/>
    <n v="329525"/>
    <n v="84525"/>
    <s v="Karan Singh"/>
    <s v="Wholesale"/>
    <x v="19"/>
    <s v="Gorakhpur"/>
    <s v="EMI "/>
    <x v="1"/>
  </r>
  <r>
    <s v="ORD1166"/>
    <d v="2025-01-27T00:00:00"/>
    <s v="C166"/>
    <s v="P166"/>
    <n v="5"/>
    <n v="50000"/>
    <n v="250000"/>
    <n v="0.4"/>
    <n v="100000"/>
    <n v="100000"/>
    <n v="250000"/>
    <n v="0"/>
    <s v="Neha Reddy"/>
    <s v="Wholesale"/>
    <x v="3"/>
    <s v="Bareilly"/>
    <s v="EMI "/>
    <x v="1"/>
  </r>
  <r>
    <s v="ORD1167"/>
    <d v="2025-01-27T00:00:00"/>
    <s v="C167"/>
    <s v="P167"/>
    <n v="5"/>
    <n v="51000"/>
    <n v="255000"/>
    <n v="0.1"/>
    <n v="25500"/>
    <n v="102000"/>
    <n v="331500"/>
    <n v="76500"/>
    <s v="Aryan Das"/>
    <s v="Wholesale"/>
    <x v="3"/>
    <s v="Kolkata"/>
    <s v="EMI "/>
    <x v="1"/>
  </r>
  <r>
    <s v="ORD1168"/>
    <d v="2025-01-27T00:00:00"/>
    <s v="C168"/>
    <s v="P168"/>
    <n v="6"/>
    <n v="52000"/>
    <n v="312000"/>
    <n v="0.1"/>
    <n v="31200"/>
    <n v="124800"/>
    <n v="405600"/>
    <n v="93600"/>
    <s v="Kavya Arora"/>
    <s v="Wholesale"/>
    <x v="3"/>
    <s v="Gurugram"/>
    <s v="EMI "/>
    <x v="1"/>
  </r>
  <r>
    <s v="ORD1169"/>
    <d v="2025-01-27T00:00:00"/>
    <s v="C169"/>
    <s v="P169"/>
    <n v="6"/>
    <n v="53000"/>
    <n v="318000"/>
    <n v="0.13"/>
    <n v="41340"/>
    <n v="127200"/>
    <n v="403860"/>
    <n v="85860"/>
    <s v="Yash Desai"/>
    <s v="Wholesale"/>
    <x v="3"/>
    <s v="Gorakhpur"/>
    <s v="EMI "/>
    <x v="1"/>
  </r>
  <r>
    <s v="ORD1170"/>
    <d v="2025-01-27T00:00:00"/>
    <s v="C170"/>
    <s v="P170"/>
    <n v="7"/>
    <n v="54000"/>
    <n v="378000"/>
    <n v="0.08"/>
    <n v="30240"/>
    <n v="151200"/>
    <n v="498960"/>
    <n v="120960"/>
    <s v="Riya Thakur"/>
    <s v="Wholesale"/>
    <x v="3"/>
    <s v="Lucknow"/>
    <s v="EMI "/>
    <x v="1"/>
  </r>
  <r>
    <s v="ORD1171"/>
    <d v="2025-01-27T00:00:00"/>
    <s v="C171"/>
    <s v="P171"/>
    <n v="6"/>
    <n v="55000"/>
    <n v="330000"/>
    <n v="0.04"/>
    <n v="13200"/>
    <n v="132000"/>
    <n v="448800"/>
    <n v="118800"/>
    <s v="Dev Kohli"/>
    <s v="Wholesale"/>
    <x v="12"/>
    <s v="Faridabad"/>
    <s v="EMI "/>
    <x v="1"/>
  </r>
  <r>
    <s v="ORD1172"/>
    <d v="2025-01-27T00:00:00"/>
    <s v="C172"/>
    <s v="P172"/>
    <n v="5"/>
    <n v="56000"/>
    <n v="280000"/>
    <n v="0.05"/>
    <n v="14000"/>
    <n v="112000"/>
    <n v="378000"/>
    <n v="98000"/>
    <s v="Nishant Nagar"/>
    <s v="Wholesale"/>
    <x v="10"/>
    <s v="Baghpat"/>
    <s v="EMI "/>
    <x v="1"/>
  </r>
  <r>
    <s v="ORD1173"/>
    <d v="2025-01-27T00:00:00"/>
    <s v="C173"/>
    <s v="P173"/>
    <n v="4"/>
    <n v="57000"/>
    <n v="228000"/>
    <n v="0.1"/>
    <n v="22800"/>
    <n v="91200"/>
    <n v="296400"/>
    <n v="68400"/>
    <s v="Siddharth Patel"/>
    <s v="Wholesale"/>
    <x v="3"/>
    <s v="Surat"/>
    <s v="EMI "/>
    <x v="1"/>
  </r>
  <r>
    <s v="ORD1174"/>
    <d v="2025-01-27T00:00:00"/>
    <s v="C174"/>
    <s v="P174"/>
    <n v="3"/>
    <n v="58000"/>
    <n v="174000"/>
    <n v="0.12"/>
    <n v="20880"/>
    <n v="69600"/>
    <n v="222720"/>
    <n v="48720"/>
    <s v="Pooja Khanna"/>
    <s v="Wholesale"/>
    <x v="19"/>
    <s v="Delhi"/>
    <s v="EMI "/>
    <x v="1"/>
  </r>
  <r>
    <s v="ORD1175"/>
    <d v="2025-01-28T00:00:00"/>
    <s v="C175"/>
    <s v="P175"/>
    <n v="2"/>
    <n v="59000"/>
    <n v="118000"/>
    <n v="0.13"/>
    <n v="15340"/>
    <n v="47200"/>
    <n v="149860"/>
    <n v="31860"/>
    <s v="Varun Khanna"/>
    <s v="Wholesale"/>
    <x v="19"/>
    <s v="Delhi"/>
    <s v="EMI "/>
    <x v="1"/>
  </r>
  <r>
    <s v="ORD1176"/>
    <d v="2025-01-28T00:00:00"/>
    <s v="C176"/>
    <s v="P176"/>
    <n v="1"/>
    <n v="60000"/>
    <n v="60000"/>
    <n v="0.15"/>
    <n v="9000"/>
    <n v="24000"/>
    <n v="75000"/>
    <n v="15000"/>
    <s v="Simran Kulkarni"/>
    <s v="Large"/>
    <x v="3"/>
    <s v="Nashik"/>
    <s v="EMI "/>
    <x v="1"/>
  </r>
  <r>
    <s v="ORD1177"/>
    <d v="2025-01-28T00:00:00"/>
    <s v="C177"/>
    <s v="P177"/>
    <n v="2"/>
    <n v="61000"/>
    <n v="122000"/>
    <n v="0.2"/>
    <n v="24400"/>
    <n v="48800"/>
    <n v="146400"/>
    <n v="24400"/>
    <s v="Aniket Yadav"/>
    <s v="Wholesale"/>
    <x v="8"/>
    <s v="Vadodra"/>
    <s v="EMI "/>
    <x v="1"/>
  </r>
  <r>
    <s v="ORD1178"/>
    <d v="2025-01-28T00:00:00"/>
    <s v="C178"/>
    <s v="P178"/>
    <n v="1"/>
    <n v="62000"/>
    <n v="62000"/>
    <n v="0.2"/>
    <n v="12400"/>
    <n v="24800"/>
    <n v="74400"/>
    <n v="12400"/>
    <s v="Tanvi Mathur"/>
    <s v="Large"/>
    <x v="10"/>
    <s v="Nangloi"/>
    <s v="EMI "/>
    <x v="1"/>
  </r>
  <r>
    <s v="ORD1179"/>
    <d v="2025-01-28T00:00:00"/>
    <s v="C179"/>
    <s v="P179"/>
    <n v="1"/>
    <n v="63000"/>
    <n v="63000"/>
    <n v="0.1"/>
    <n v="6300"/>
    <n v="25200"/>
    <n v="81900"/>
    <n v="18900"/>
    <s v="Manav Gupta"/>
    <s v="Large"/>
    <x v="8"/>
    <s v="Delhi"/>
    <s v="EMI "/>
    <x v="1"/>
  </r>
  <r>
    <s v="ORD1180"/>
    <d v="2025-01-28T00:00:00"/>
    <s v="C180"/>
    <s v="P180"/>
    <n v="1"/>
    <n v="64000"/>
    <n v="64000"/>
    <n v="0.1"/>
    <n v="6400"/>
    <n v="25600"/>
    <n v="83200"/>
    <n v="19200"/>
    <s v="Shreya Iyer"/>
    <s v="Large"/>
    <x v="8"/>
    <s v="Vizag"/>
    <s v="EMI "/>
    <x v="1"/>
  </r>
  <r>
    <s v="ORD1181"/>
    <d v="2025-01-28T00:00:00"/>
    <s v="C181"/>
    <s v="P181"/>
    <n v="1"/>
    <n v="65000"/>
    <n v="65000"/>
    <n v="0.15"/>
    <n v="9750"/>
    <n v="26000"/>
    <n v="81250"/>
    <n v="16250"/>
    <s v="Vivaan Mishra"/>
    <s v="Large"/>
    <x v="8"/>
    <s v="Kannauj"/>
    <s v="EMI "/>
    <x v="1"/>
  </r>
  <r>
    <s v="ORD1182"/>
    <d v="2025-01-28T00:00:00"/>
    <s v="C182"/>
    <s v="P182"/>
    <n v="1"/>
    <n v="66000"/>
    <n v="66000"/>
    <n v="0.25"/>
    <n v="16500"/>
    <n v="26400"/>
    <n v="75900"/>
    <n v="9900"/>
    <s v="Avni Pandey"/>
    <s v="Large"/>
    <x v="8"/>
    <s v="Varanasi"/>
    <s v="Credit Card"/>
    <x v="1"/>
  </r>
  <r>
    <s v="ORD1183"/>
    <d v="2025-01-28T00:00:00"/>
    <s v="C183"/>
    <s v="P183"/>
    <n v="1"/>
    <n v="67000"/>
    <n v="67000"/>
    <n v="0.1"/>
    <n v="6700"/>
    <n v="26800"/>
    <n v="87100"/>
    <n v="20100"/>
    <s v="Reyansh Srivastava"/>
    <s v="Large"/>
    <x v="8"/>
    <s v="Ayodhya"/>
    <s v="Credit Card"/>
    <x v="1"/>
  </r>
  <r>
    <s v="ORD1184"/>
    <d v="2025-01-29T00:00:00"/>
    <s v="C184"/>
    <s v="P184"/>
    <n v="1"/>
    <n v="68000"/>
    <n v="68000"/>
    <n v="0.1"/>
    <n v="6800"/>
    <n v="27200"/>
    <n v="88400"/>
    <n v="20400"/>
    <s v="Myra Dutta"/>
    <s v="Large"/>
    <x v="8"/>
    <s v="Gorakhpur"/>
    <s v="Credit Card"/>
    <x v="1"/>
  </r>
  <r>
    <s v="ORD1185"/>
    <d v="2025-01-29T00:00:00"/>
    <s v="C185"/>
    <s v="P185"/>
    <n v="1"/>
    <n v="69000"/>
    <n v="69000"/>
    <n v="0.05"/>
    <n v="3450"/>
    <n v="27600"/>
    <n v="93150"/>
    <n v="24150"/>
    <s v="Krish Sood"/>
    <s v="Large"/>
    <x v="8"/>
    <s v="Amritsar"/>
    <s v="Credit Card"/>
    <x v="1"/>
  </r>
  <r>
    <s v="ORD1186"/>
    <d v="2025-01-29T00:00:00"/>
    <s v="C186"/>
    <s v="P186"/>
    <n v="1"/>
    <n v="70000"/>
    <n v="70000"/>
    <n v="0.1"/>
    <n v="7000"/>
    <n v="28000"/>
    <n v="91000"/>
    <n v="21000"/>
    <s v="Kiara Verma"/>
    <s v="Large"/>
    <x v="13"/>
    <s v="Panipat"/>
    <s v="EMI "/>
    <x v="1"/>
  </r>
  <r>
    <s v="ORD1187"/>
    <d v="2025-01-29T00:00:00"/>
    <s v="C187"/>
    <s v="P187"/>
    <n v="1"/>
    <n v="71000"/>
    <n v="71000"/>
    <n v="0.05"/>
    <n v="3550"/>
    <n v="28400"/>
    <n v="95850"/>
    <n v="24850"/>
    <s v="Atharv Agarwal"/>
    <s v="Large"/>
    <x v="12"/>
    <s v="Sonipat"/>
    <s v="EMI "/>
    <x v="1"/>
  </r>
  <r>
    <s v="ORD1188"/>
    <d v="2025-01-29T00:00:00"/>
    <s v="C188"/>
    <s v="P188"/>
    <n v="1"/>
    <n v="72000"/>
    <n v="72000"/>
    <n v="0.12"/>
    <n v="8640"/>
    <n v="28800"/>
    <n v="92160"/>
    <n v="20160"/>
    <s v="Anika Saxena"/>
    <s v="Large"/>
    <x v="3"/>
    <s v="Gurugram"/>
    <s v="EMI "/>
    <x v="1"/>
  </r>
  <r>
    <s v="ORD1189"/>
    <d v="2025-01-29T00:00:00"/>
    <s v="C189"/>
    <s v="P189"/>
    <n v="1"/>
    <n v="73000"/>
    <n v="73000"/>
    <n v="0.15"/>
    <n v="10950"/>
    <n v="29200"/>
    <n v="91250"/>
    <n v="18250"/>
    <s v="Dhruv Tiwari"/>
    <s v="Large"/>
    <x v="3"/>
    <s v="Baghpat"/>
    <s v="EMI "/>
    <x v="1"/>
  </r>
  <r>
    <s v="ORD1190"/>
    <d v="2025-01-29T00:00:00"/>
    <s v="C190"/>
    <s v="P190"/>
    <n v="1"/>
    <n v="74000"/>
    <n v="74000"/>
    <n v="0.12"/>
    <n v="8880"/>
    <n v="29600"/>
    <n v="94720"/>
    <n v="20720"/>
    <s v="Saanvi Sinha"/>
    <s v="Large"/>
    <x v="3"/>
    <s v="Kanpur"/>
    <s v="EMI "/>
    <x v="1"/>
  </r>
  <r>
    <s v="ORD1191"/>
    <d v="2025-01-30T00:00:00"/>
    <s v="C191"/>
    <s v="P191"/>
    <n v="1"/>
    <n v="75000"/>
    <n v="75000"/>
    <n v="0.15"/>
    <n v="11250"/>
    <n v="30000"/>
    <n v="93750"/>
    <n v="18750"/>
    <s v="Rudra Banerjee"/>
    <s v="Large"/>
    <x v="3"/>
    <s v="Kolkata"/>
    <s v="EMI "/>
    <x v="1"/>
  </r>
  <r>
    <s v="ORD1192"/>
    <d v="2025-01-30T00:00:00"/>
    <s v="C192"/>
    <s v="P192"/>
    <n v="1"/>
    <n v="76000"/>
    <n v="76000"/>
    <n v="0.15"/>
    <n v="11400"/>
    <n v="30400"/>
    <n v="95000"/>
    <n v="19000"/>
    <s v="Navya Vohra"/>
    <s v="Large"/>
    <x v="3"/>
    <s v="Hampi"/>
    <s v="EMI "/>
    <x v="1"/>
  </r>
  <r>
    <s v="ORD1193"/>
    <d v="2025-01-30T00:00:00"/>
    <s v="C193"/>
    <s v="P193"/>
    <n v="1"/>
    <n v="77000"/>
    <n v="77000"/>
    <n v="0.156"/>
    <n v="12012"/>
    <n v="30800"/>
    <n v="95788"/>
    <n v="18788"/>
    <s v="Ayush Sharma"/>
    <s v="Large"/>
    <x v="3"/>
    <s v="Gurugram"/>
    <s v="EMI "/>
    <x v="1"/>
  </r>
  <r>
    <s v="ORD1194"/>
    <d v="2025-01-30T00:00:00"/>
    <s v="C194"/>
    <s v="P194"/>
    <n v="1"/>
    <n v="78000"/>
    <n v="78000"/>
    <n v="0.16200000000000001"/>
    <n v="12636"/>
    <n v="31200"/>
    <n v="96564"/>
    <n v="18564"/>
    <s v="Tanya Bansal"/>
    <s v="Large"/>
    <x v="3"/>
    <s v="Noida"/>
    <s v="EMI "/>
    <x v="1"/>
  </r>
  <r>
    <s v="ORD1195"/>
    <d v="2025-01-30T00:00:00"/>
    <s v="C195"/>
    <s v="P195"/>
    <n v="1"/>
    <n v="79000"/>
    <n v="79000"/>
    <n v="0.16800000000000001"/>
    <n v="13272"/>
    <n v="31600"/>
    <n v="97328"/>
    <n v="18328"/>
    <s v="Arnav Chopra"/>
    <s v="Large"/>
    <x v="3"/>
    <s v="Delhi"/>
    <s v="EMI "/>
    <x v="1"/>
  </r>
  <r>
    <s v="ORD1196"/>
    <d v="2025-01-30T00:00:00"/>
    <s v="C196"/>
    <s v="P196"/>
    <n v="1"/>
    <n v="80000"/>
    <n v="80000"/>
    <n v="0.17399999999999999"/>
    <n v="13919.999999999998"/>
    <n v="32000"/>
    <n v="98080"/>
    <n v="18080"/>
    <s v="Ira Sethi"/>
    <s v="Large"/>
    <x v="3"/>
    <s v="Noida"/>
    <s v="Credit Card"/>
    <x v="1"/>
  </r>
  <r>
    <s v="ORD1197"/>
    <d v="2025-01-31T00:00:00"/>
    <s v="C197"/>
    <s v="P197"/>
    <n v="1"/>
    <n v="81000"/>
    <n v="81000"/>
    <n v="0.18"/>
    <n v="14580"/>
    <n v="32400"/>
    <n v="98820"/>
    <n v="17820"/>
    <s v="Shaurya Jain"/>
    <s v="Large"/>
    <x v="3"/>
    <s v="Delhi"/>
    <s v="EMI "/>
    <x v="1"/>
  </r>
  <r>
    <s v="ORD1198"/>
    <d v="2025-01-31T00:00:00"/>
    <s v="C198"/>
    <s v="P198"/>
    <n v="1"/>
    <n v="82000"/>
    <n v="82000"/>
    <n v="0.186"/>
    <n v="15252"/>
    <n v="32800"/>
    <n v="99548"/>
    <n v="17548"/>
    <s v="Mahi Mukherjee"/>
    <s v="Large"/>
    <x v="3"/>
    <s v="Gurugram"/>
    <s v="EMI "/>
    <x v="1"/>
  </r>
  <r>
    <s v="ORD1199"/>
    <d v="2025-01-31T00:00:00"/>
    <s v="C199"/>
    <s v="P199"/>
    <n v="1"/>
    <n v="83000"/>
    <n v="83000"/>
    <n v="0.192"/>
    <n v="15936"/>
    <n v="33200"/>
    <n v="100264"/>
    <n v="17264"/>
    <s v="Parth Dubey"/>
    <s v="Industrial"/>
    <x v="3"/>
    <s v="Gurugram"/>
    <s v="EMI "/>
    <x v="1"/>
  </r>
  <r>
    <s v="ORD1200"/>
    <d v="2025-01-31T00:00:00"/>
    <s v="C200"/>
    <s v="P200"/>
    <n v="1"/>
    <n v="84000"/>
    <n v="84000"/>
    <n v="0.01"/>
    <n v="840"/>
    <n v="33600"/>
    <n v="116760"/>
    <n v="32760"/>
    <s v="Aanya Naidu"/>
    <s v="Industrial"/>
    <x v="3"/>
    <s v="Surat"/>
    <s v="EMI "/>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ORD1001"/>
    <d v="2025-01-12T00:00:00"/>
    <s v="C001"/>
    <s v="P001"/>
    <n v="4"/>
    <n v="899"/>
    <n v="3596"/>
    <n v="0.1"/>
    <n v="359.6"/>
    <n v="1438.4"/>
    <n v="4674.7999999999993"/>
    <n v="1078.7999999999993"/>
    <s v="Aarav Mehta"/>
    <s v="Micro"/>
    <x v="0"/>
    <s v="Agartala"/>
    <s v="Credit Card"/>
    <x v="0"/>
  </r>
  <r>
    <s v="ORD1002"/>
    <d v="2025-01-12T00:00:00"/>
    <s v="C002"/>
    <s v="P002"/>
    <n v="5"/>
    <n v="649"/>
    <n v="3245"/>
    <n v="0.02"/>
    <n v="64.900000000000006"/>
    <n v="1298"/>
    <n v="4478.1000000000004"/>
    <n v="1233.1000000000004"/>
    <s v="Aditi Patel"/>
    <s v="Micro"/>
    <x v="0"/>
    <s v="Agra"/>
    <s v="UPI"/>
    <x v="0"/>
  </r>
  <r>
    <s v="ORD1003"/>
    <d v="2025-01-12T00:00:00"/>
    <s v="C003"/>
    <s v="P003"/>
    <n v="6"/>
    <n v="125"/>
    <n v="750"/>
    <n v="0"/>
    <n v="0"/>
    <n v="300"/>
    <n v="1050"/>
    <n v="300"/>
    <s v="Arjun Khanna"/>
    <s v="Micro"/>
    <x v="0"/>
    <s v="Ahmedabad"/>
    <s v="Cash on delivery"/>
    <x v="0"/>
  </r>
  <r>
    <s v="ORD1004"/>
    <d v="2025-01-12T00:00:00"/>
    <s v="C004"/>
    <s v="P004"/>
    <n v="7"/>
    <n v="199"/>
    <n v="1393"/>
    <n v="0"/>
    <n v="0"/>
    <n v="557.20000000000005"/>
    <n v="1950.2"/>
    <n v="557.20000000000005"/>
    <s v="Ananya Khanna"/>
    <s v="Micro"/>
    <x v="0"/>
    <s v="Aizawl"/>
    <s v="Cash on delivery"/>
    <x v="0"/>
  </r>
  <r>
    <s v="ORD1005"/>
    <d v="2025-01-13T00:00:00"/>
    <s v="C005"/>
    <s v="P005"/>
    <n v="2"/>
    <n v="900"/>
    <n v="1800"/>
    <n v="0.15"/>
    <n v="270"/>
    <n v="720"/>
    <n v="2250"/>
    <n v="450"/>
    <s v="Aditya Kulkarni"/>
    <s v="Micro"/>
    <x v="1"/>
    <s v="Ajmer"/>
    <s v="Cash on delivery"/>
    <x v="0"/>
  </r>
  <r>
    <s v="ORD1006"/>
    <d v="2025-01-13T00:00:00"/>
    <s v="C006"/>
    <s v="P006"/>
    <n v="3"/>
    <n v="1200"/>
    <n v="3600"/>
    <n v="0.15"/>
    <n v="540"/>
    <n v="1440"/>
    <n v="4500"/>
    <n v="900"/>
    <s v="Ishita Yadav"/>
    <s v="Micro"/>
    <x v="2"/>
    <s v="Aligarh "/>
    <s v="Cash on delivery"/>
    <x v="0"/>
  </r>
  <r>
    <s v="ORD1007"/>
    <d v="2025-01-13T00:00:00"/>
    <s v="C007"/>
    <s v="P007"/>
    <n v="4"/>
    <n v="800"/>
    <n v="3200"/>
    <n v="0.15"/>
    <n v="480"/>
    <n v="1280"/>
    <n v="4000"/>
    <n v="800"/>
    <s v="Kabir Mathur"/>
    <s v="Micro"/>
    <x v="3"/>
    <s v="Amravati"/>
    <s v="Cash on delivery"/>
    <x v="0"/>
  </r>
  <r>
    <s v="ORD1008"/>
    <d v="2025-01-13T00:00:00"/>
    <s v="C008"/>
    <s v="P008"/>
    <n v="5"/>
    <n v="700"/>
    <n v="3500"/>
    <n v="0.15"/>
    <n v="525"/>
    <n v="1400"/>
    <n v="4375"/>
    <n v="875"/>
    <s v="Meera Gupta"/>
    <s v="Micro"/>
    <x v="0"/>
    <s v="Amritsar"/>
    <s v="Cash on delivery"/>
    <x v="0"/>
  </r>
  <r>
    <s v="ORD1009"/>
    <d v="2025-01-14T00:00:00"/>
    <s v="C009"/>
    <s v="P009"/>
    <n v="1"/>
    <n v="600"/>
    <n v="600"/>
    <n v="0.15"/>
    <n v="90"/>
    <n v="240"/>
    <n v="750"/>
    <n v="150"/>
    <s v="Rohan Iyer"/>
    <s v="Micro"/>
    <x v="0"/>
    <s v="Aurangabad"/>
    <s v="Cash on delivery"/>
    <x v="0"/>
  </r>
  <r>
    <s v="ORD1010"/>
    <d v="2025-01-14T00:00:00"/>
    <s v="C010"/>
    <s v="P010"/>
    <n v="3"/>
    <n v="3000"/>
    <n v="9000"/>
    <n v="0.15"/>
    <n v="1350"/>
    <n v="3600"/>
    <n v="11250"/>
    <n v="2250"/>
    <s v="Priya Mishra"/>
    <s v="Medium"/>
    <x v="4"/>
    <s v="Bangalore"/>
    <s v="Cash on delivery"/>
    <x v="0"/>
  </r>
  <r>
    <s v="ORD1011"/>
    <d v="2025-01-14T00:00:00"/>
    <s v="C011"/>
    <s v="P011"/>
    <n v="5"/>
    <n v="2500"/>
    <n v="12500"/>
    <n v="0.2"/>
    <n v="2500"/>
    <n v="5000"/>
    <n v="15000"/>
    <n v="2500"/>
    <s v="Rahul Pandey"/>
    <s v="Medium"/>
    <x v="5"/>
    <s v="Bareilly"/>
    <s v="Credit Card"/>
    <x v="1"/>
  </r>
  <r>
    <s v="ORD1012"/>
    <d v="2025-01-14T00:00:00"/>
    <s v="C012"/>
    <s v="P012"/>
    <n v="7"/>
    <n v="2300"/>
    <n v="16100"/>
    <n v="0.2"/>
    <n v="3220"/>
    <n v="6440"/>
    <n v="19320"/>
    <n v="3220"/>
    <s v="Sneha Srivastava"/>
    <s v="Medium"/>
    <x v="6"/>
    <s v="Chandigarh"/>
    <s v="Credit Card"/>
    <x v="0"/>
  </r>
  <r>
    <s v="ORD1013"/>
    <d v="2025-01-14T00:00:00"/>
    <s v="C013"/>
    <s v="P013"/>
    <n v="9"/>
    <n v="2100"/>
    <n v="18900"/>
    <n v="0.2"/>
    <n v="3780"/>
    <n v="7560"/>
    <n v="22680"/>
    <n v="3780"/>
    <s v="Vihaan Dutta"/>
    <s v="Medium"/>
    <x v="6"/>
    <s v="Chennai"/>
    <s v="Credit Card"/>
    <x v="1"/>
  </r>
  <r>
    <s v="ORD1014"/>
    <d v="2025-01-14T00:00:00"/>
    <s v="C014"/>
    <s v="P014"/>
    <n v="11"/>
    <n v="1900"/>
    <n v="20900"/>
    <n v="0.2"/>
    <n v="4180"/>
    <n v="8360"/>
    <n v="25080"/>
    <n v="4180"/>
    <s v="Diya Sood"/>
    <s v="Medium"/>
    <x v="7"/>
    <s v="Coimbatore"/>
    <s v="Credit Card"/>
    <x v="1"/>
  </r>
  <r>
    <s v="ORD1015"/>
    <d v="2025-01-14T00:00:00"/>
    <s v="C015"/>
    <s v="P015"/>
    <n v="13"/>
    <n v="250"/>
    <n v="3250"/>
    <n v="0.2"/>
    <n v="650"/>
    <n v="1300"/>
    <n v="3900"/>
    <n v="650"/>
    <s v="Karan Verma"/>
    <s v="Micro"/>
    <x v="7"/>
    <s v="Dehradun"/>
    <s v="Credit Card"/>
    <x v="0"/>
  </r>
  <r>
    <s v="ORD1016"/>
    <d v="2025-01-14T00:00:00"/>
    <s v="C016"/>
    <s v="P016"/>
    <n v="15"/>
    <n v="1300"/>
    <n v="19500"/>
    <n v="0.2"/>
    <n v="3900"/>
    <n v="7800"/>
    <n v="23400"/>
    <n v="3900"/>
    <s v="Neha Agarwal"/>
    <s v="Medium"/>
    <x v="7"/>
    <s v="Dharamshala"/>
    <s v="Credit Card"/>
    <x v="1"/>
  </r>
  <r>
    <s v="ORD1017"/>
    <d v="2025-01-14T00:00:00"/>
    <s v="C017"/>
    <s v="P017"/>
    <n v="17"/>
    <n v="3100"/>
    <n v="52700"/>
    <n v="0.2"/>
    <n v="10540"/>
    <n v="21080"/>
    <n v="63240"/>
    <n v="10540"/>
    <s v="Aryan Saxena"/>
    <s v="Large"/>
    <x v="7"/>
    <s v="Faridabad"/>
    <s v="Credit Card"/>
    <x v="0"/>
  </r>
  <r>
    <s v="ORD1018"/>
    <d v="2025-01-14T00:00:00"/>
    <s v="C018"/>
    <s v="P018"/>
    <n v="19"/>
    <n v="1200"/>
    <n v="22800"/>
    <n v="0.2"/>
    <n v="4560"/>
    <n v="9120"/>
    <n v="27360"/>
    <n v="4560"/>
    <s v="Kavya Tiwari"/>
    <s v="Medium"/>
    <x v="8"/>
    <s v="Kanpur"/>
    <s v="Credit Card"/>
    <x v="1"/>
  </r>
  <r>
    <s v="ORD1019"/>
    <d v="2025-01-14T00:00:00"/>
    <s v="C019"/>
    <s v="P019"/>
    <n v="21"/>
    <n v="1100"/>
    <n v="23100"/>
    <n v="0.2"/>
    <n v="4620"/>
    <n v="9240"/>
    <n v="27720"/>
    <n v="4620"/>
    <s v="Yash Sinha"/>
    <s v="Medium"/>
    <x v="9"/>
    <s v="Gurugram"/>
    <s v="Credit Card"/>
    <x v="1"/>
  </r>
  <r>
    <s v="ORD1020"/>
    <d v="2025-01-14T00:00:00"/>
    <s v="C020"/>
    <s v="P020"/>
    <n v="5"/>
    <n v="2000"/>
    <n v="10000"/>
    <n v="0.1"/>
    <n v="1000"/>
    <n v="4000"/>
    <n v="13000"/>
    <n v="3000"/>
    <s v="Riya Banerjee"/>
    <s v="Medium"/>
    <x v="10"/>
    <s v="Kolkata"/>
    <s v="Credit Card"/>
    <x v="1"/>
  </r>
  <r>
    <s v="ORD1021"/>
    <d v="2025-01-15T00:00:00"/>
    <s v="C021"/>
    <s v="P021"/>
    <n v="3"/>
    <n v="3000"/>
    <n v="9000"/>
    <n v="0.05"/>
    <n v="450"/>
    <n v="3600"/>
    <n v="12150"/>
    <n v="3150"/>
    <s v="Dev Vohra"/>
    <s v="Medium"/>
    <x v="11"/>
    <s v="Amravati"/>
    <s v="Buy Now Pay later"/>
    <x v="0"/>
  </r>
  <r>
    <s v="ORD1022"/>
    <d v="2025-01-15T00:00:00"/>
    <s v="C022"/>
    <s v="P022"/>
    <n v="2"/>
    <n v="200"/>
    <n v="400"/>
    <n v="0"/>
    <n v="0"/>
    <n v="160"/>
    <n v="560"/>
    <n v="160"/>
    <s v="Nisha Sharma"/>
    <s v="Micro"/>
    <x v="3"/>
    <s v="Rohtak"/>
    <s v="Cash on delivery"/>
    <x v="0"/>
  </r>
  <r>
    <s v="ORD1023"/>
    <d v="2025-01-15T00:00:00"/>
    <s v="C023"/>
    <s v="P023"/>
    <n v="1"/>
    <n v="8000"/>
    <n v="8000"/>
    <n v="0.08"/>
    <n v="640"/>
    <n v="3200"/>
    <n v="10560"/>
    <n v="2560"/>
    <s v="Siddharth Bansal"/>
    <s v="Medium"/>
    <x v="3"/>
    <s v="Jind"/>
    <s v="Credit Card"/>
    <x v="1"/>
  </r>
  <r>
    <s v="ORD1024"/>
    <d v="2025-01-15T00:00:00"/>
    <s v="C024"/>
    <s v="P024"/>
    <n v="4"/>
    <n v="1250"/>
    <n v="5000"/>
    <n v="0.02"/>
    <n v="100"/>
    <n v="2000"/>
    <n v="6900"/>
    <n v="1900"/>
    <s v="Pooja Chopra"/>
    <s v="Small"/>
    <x v="3"/>
    <s v="Rohtak"/>
    <s v="Cash on delivery"/>
    <x v="1"/>
  </r>
  <r>
    <s v="ORD1025"/>
    <d v="2025-01-15T00:00:00"/>
    <s v="C025"/>
    <s v="P025"/>
    <n v="2"/>
    <n v="3000"/>
    <n v="6000"/>
    <n v="0.05"/>
    <n v="300"/>
    <n v="2400"/>
    <n v="8100"/>
    <n v="2100"/>
    <s v="Varun Sethi"/>
    <s v="Small"/>
    <x v="8"/>
    <s v="Gurugram"/>
    <s v="Credit Card"/>
    <x v="1"/>
  </r>
  <r>
    <s v="ORD1026"/>
    <d v="2025-01-16T00:00:00"/>
    <s v="C026"/>
    <s v="P026"/>
    <n v="4"/>
    <n v="4000"/>
    <n v="16000"/>
    <n v="0.1"/>
    <n v="1600"/>
    <n v="6400"/>
    <n v="20800"/>
    <n v="4800"/>
    <s v="Simran Jain"/>
    <s v="Medium"/>
    <x v="6"/>
    <s v="Faridabad"/>
    <s v="Buy Now Pay later"/>
    <x v="1"/>
  </r>
  <r>
    <s v="ORD1027"/>
    <d v="2025-01-17T00:00:00"/>
    <s v="C027"/>
    <s v="P027"/>
    <n v="2"/>
    <n v="5000"/>
    <n v="10000"/>
    <n v="0"/>
    <n v="0"/>
    <n v="4000"/>
    <n v="14000"/>
    <n v="4000"/>
    <s v="Aniket Mukherjee"/>
    <s v="Medium"/>
    <x v="12"/>
    <s v="Gurugram"/>
    <s v="Credit Card"/>
    <x v="0"/>
  </r>
  <r>
    <s v="ORD1028"/>
    <d v="2025-01-18T00:00:00"/>
    <s v="C028"/>
    <s v="P028"/>
    <n v="6"/>
    <n v="6000"/>
    <n v="36000"/>
    <n v="0.25"/>
    <n v="9000"/>
    <n v="14400"/>
    <n v="41400"/>
    <n v="5400"/>
    <s v="Tanvi Dubey"/>
    <s v="Large"/>
    <x v="4"/>
    <s v="Gurugram"/>
    <s v="EMI "/>
    <x v="0"/>
  </r>
  <r>
    <s v="ORD1029"/>
    <d v="2025-01-19T00:00:00"/>
    <s v="C029"/>
    <s v="P029"/>
    <n v="3"/>
    <n v="12000"/>
    <n v="36000"/>
    <n v="0.1"/>
    <n v="3600"/>
    <n v="14400"/>
    <n v="46800"/>
    <n v="10800"/>
    <s v="Manav Naidu"/>
    <s v="Large"/>
    <x v="13"/>
    <s v="Bangalore"/>
    <s v="Buy Now Pay later"/>
    <x v="1"/>
  </r>
  <r>
    <s v="ORD1030"/>
    <d v="2025-01-20T00:00:00"/>
    <s v="C030"/>
    <s v="P030"/>
    <n v="2"/>
    <n v="15000"/>
    <n v="30000"/>
    <n v="0.25"/>
    <n v="7500"/>
    <n v="12000"/>
    <n v="34500"/>
    <n v="4500"/>
    <s v="Shreya Malhotra"/>
    <s v="Large"/>
    <x v="1"/>
    <s v="Bangalore"/>
    <s v="EMI "/>
    <x v="1"/>
  </r>
  <r>
    <s v="ORD1031"/>
    <d v="2025-01-21T00:00:00"/>
    <s v="C031"/>
    <s v="P031"/>
    <n v="1"/>
    <n v="31000"/>
    <n v="31000"/>
    <n v="0.25"/>
    <n v="7750"/>
    <n v="12400"/>
    <n v="35650"/>
    <n v="4650"/>
    <s v="Vivaan Joshi"/>
    <s v="Large"/>
    <x v="3"/>
    <s v="Delhi"/>
    <s v="EMI "/>
    <x v="1"/>
  </r>
  <r>
    <s v="ORD1032"/>
    <d v="2025-01-22T00:00:00"/>
    <s v="C032"/>
    <s v="P032"/>
    <n v="7"/>
    <n v="700"/>
    <n v="4900"/>
    <n v="0.05"/>
    <n v="245"/>
    <n v="1960"/>
    <n v="6615"/>
    <n v="1715"/>
    <s v="Avni Chawla"/>
    <s v="Small"/>
    <x v="14"/>
    <s v="Delhi"/>
    <s v="Cash on delivery"/>
    <x v="0"/>
  </r>
  <r>
    <s v="ORD1033"/>
    <d v="2025-01-22T00:00:00"/>
    <s v="C033"/>
    <s v="P033"/>
    <n v="8"/>
    <n v="1000"/>
    <n v="8000"/>
    <n v="0.05"/>
    <n v="400"/>
    <n v="3200"/>
    <n v="10800"/>
    <n v="2800"/>
    <s v="Reyansh Goyal"/>
    <s v="Medium"/>
    <x v="3"/>
    <s v="Delhi"/>
    <s v="Credit Card"/>
    <x v="0"/>
  </r>
  <r>
    <s v="ORD1034"/>
    <d v="2025-01-22T00:00:00"/>
    <s v="C034"/>
    <s v="P034"/>
    <n v="9"/>
    <n v="900"/>
    <n v="8100"/>
    <n v="0"/>
    <n v="0"/>
    <n v="3240"/>
    <n v="11340"/>
    <n v="3240"/>
    <s v="Myra Pillai"/>
    <s v="Medium"/>
    <x v="3"/>
    <s v="Delhi"/>
    <s v="Credit Card"/>
    <x v="1"/>
  </r>
  <r>
    <s v="ORD1035"/>
    <d v="2025-01-23T00:00:00"/>
    <s v="C035"/>
    <s v="P035"/>
    <n v="10"/>
    <n v="10000"/>
    <n v="100000"/>
    <n v="0.15"/>
    <n v="15000"/>
    <n v="40000"/>
    <n v="125000"/>
    <n v="25000"/>
    <s v="Krish Tripathi"/>
    <s v="Industrial"/>
    <x v="3"/>
    <s v="Delhi"/>
    <s v="Credit Card"/>
    <x v="1"/>
  </r>
  <r>
    <s v="ORD1036"/>
    <d v="2025-01-23T00:00:00"/>
    <s v="C036"/>
    <s v="P036"/>
    <n v="11"/>
    <n v="1200"/>
    <n v="13200"/>
    <n v="0.1"/>
    <n v="1320"/>
    <n v="5280"/>
    <n v="17160"/>
    <n v="3960"/>
    <s v="Kiara Bhatt"/>
    <s v="Medium"/>
    <x v="11"/>
    <s v="Delhi"/>
    <s v="Credit Card"/>
    <x v="1"/>
  </r>
  <r>
    <s v="ORD1037"/>
    <d v="2025-01-23T00:00:00"/>
    <s v="C037"/>
    <s v="P037"/>
    <n v="12"/>
    <n v="2400"/>
    <n v="28800"/>
    <n v="0.12"/>
    <n v="3456"/>
    <n v="11520"/>
    <n v="36864"/>
    <n v="8064"/>
    <s v="Atharv Kapoor"/>
    <s v="Large"/>
    <x v="11"/>
    <s v="Delhi"/>
    <s v="Credit Card"/>
    <x v="0"/>
  </r>
  <r>
    <s v="ORD1038"/>
    <d v="2025-01-23T00:00:00"/>
    <s v="C038"/>
    <s v="P038"/>
    <n v="13"/>
    <n v="2600"/>
    <n v="33800"/>
    <n v="0.14000000000000001"/>
    <n v="4732"/>
    <n v="13520"/>
    <n v="42588"/>
    <n v="8788"/>
    <s v="Anika Nair"/>
    <s v="Large"/>
    <x v="3"/>
    <s v="Delhi"/>
    <s v="Credit Card"/>
    <x v="0"/>
  </r>
  <r>
    <s v="ORD1039"/>
    <d v="2025-01-23T00:00:00"/>
    <s v="C039"/>
    <s v="P039"/>
    <n v="14"/>
    <n v="2800"/>
    <n v="39200"/>
    <n v="0.16"/>
    <n v="6272"/>
    <n v="15680"/>
    <n v="48608"/>
    <n v="9408"/>
    <s v="Dhruv Rao"/>
    <s v="Large"/>
    <x v="15"/>
    <s v="Delhi"/>
    <s v="Credit Card"/>
    <x v="0"/>
  </r>
  <r>
    <s v="ORD1040"/>
    <d v="2025-01-23T00:00:00"/>
    <s v="C040"/>
    <s v="P040"/>
    <n v="11"/>
    <n v="1175"/>
    <n v="12925"/>
    <n v="0.1"/>
    <n v="1292.5"/>
    <n v="5170"/>
    <n v="16802.5"/>
    <n v="3877.5"/>
    <s v="Saanvi Bhatia"/>
    <s v="Medium"/>
    <x v="7"/>
    <s v="Delhi"/>
    <s v="Credit Card"/>
    <x v="0"/>
  </r>
  <r>
    <s v="ORD1041"/>
    <d v="2025-01-24T00:00:00"/>
    <s v="C041"/>
    <s v="P041"/>
    <n v="1"/>
    <n v="45000"/>
    <n v="45000"/>
    <n v="0.25"/>
    <n v="11250"/>
    <n v="18000"/>
    <n v="51750"/>
    <n v="6750"/>
    <s v="Rudra Menon"/>
    <s v="Large"/>
    <x v="13"/>
    <s v="Delhi"/>
    <s v="Credit Card"/>
    <x v="0"/>
  </r>
  <r>
    <s v="ORD1042"/>
    <d v="2025-01-24T00:00:00"/>
    <s v="C042"/>
    <s v="P042"/>
    <n v="2"/>
    <n v="70000"/>
    <n v="140000"/>
    <n v="0.25"/>
    <n v="35000"/>
    <n v="56000"/>
    <n v="161000"/>
    <n v="21000"/>
    <s v="Navya Shukla"/>
    <s v="Wholesale"/>
    <x v="6"/>
    <s v="Gurugram"/>
    <s v="EMI "/>
    <x v="0"/>
  </r>
  <r>
    <s v="ORD1043"/>
    <d v="2025-01-24T00:00:00"/>
    <s v="C043"/>
    <s v="P043"/>
    <n v="3"/>
    <n v="13000"/>
    <n v="39000"/>
    <n v="0.1"/>
    <n v="3900"/>
    <n v="15600"/>
    <n v="50700"/>
    <n v="11700"/>
    <s v="Ayush Ahuja"/>
    <s v="Large"/>
    <x v="6"/>
    <s v="Gurugram"/>
    <s v="No Cost EMI"/>
    <x v="0"/>
  </r>
  <r>
    <s v="ORD1044"/>
    <d v="2025-01-24T00:00:00"/>
    <s v="C044"/>
    <s v="P044"/>
    <n v="14"/>
    <n v="14000"/>
    <n v="196000"/>
    <n v="0.15"/>
    <n v="29400"/>
    <n v="78400"/>
    <n v="245000"/>
    <n v="49000"/>
    <s v="Tanya Singh"/>
    <s v="Wholesale"/>
    <x v="3"/>
    <s v="Gurugram"/>
    <s v="Credit Card"/>
    <x v="0"/>
  </r>
  <r>
    <s v="ORD1045"/>
    <d v="2025-01-24T00:00:00"/>
    <s v="C045"/>
    <s v="P045"/>
    <n v="10"/>
    <n v="25000"/>
    <n v="250000"/>
    <n v="0.2"/>
    <n v="50000"/>
    <n v="100000"/>
    <n v="300000"/>
    <n v="50000"/>
    <s v="Arnav Reddy"/>
    <s v="Wholesale"/>
    <x v="3"/>
    <s v="Gurugram"/>
    <s v="Credit Card"/>
    <x v="0"/>
  </r>
  <r>
    <s v="ORD1046"/>
    <d v="2025-01-24T00:00:00"/>
    <s v="C046"/>
    <s v="P046"/>
    <n v="9"/>
    <n v="1500"/>
    <n v="13500"/>
    <n v="0"/>
    <n v="0"/>
    <n v="5400"/>
    <n v="18900"/>
    <n v="5400"/>
    <s v="Ira Das"/>
    <s v="Medium"/>
    <x v="3"/>
    <s v="Gurugram"/>
    <s v="Cash on delivery"/>
    <x v="0"/>
  </r>
  <r>
    <s v="ORD1047"/>
    <d v="2025-01-24T00:00:00"/>
    <s v="C047"/>
    <s v="P047"/>
    <n v="8"/>
    <n v="1000"/>
    <n v="8000"/>
    <n v="0"/>
    <n v="0"/>
    <n v="3200"/>
    <n v="11200"/>
    <n v="3200"/>
    <s v="Shaurya Arora"/>
    <s v="Medium"/>
    <x v="3"/>
    <s v="Gurugram"/>
    <s v="Cash on delivery"/>
    <x v="0"/>
  </r>
  <r>
    <s v="ORD1048"/>
    <d v="2025-01-24T00:00:00"/>
    <s v="C048"/>
    <s v="P048"/>
    <n v="7"/>
    <n v="1350"/>
    <n v="9450"/>
    <n v="0"/>
    <n v="0"/>
    <n v="3780"/>
    <n v="13230"/>
    <n v="3780"/>
    <s v="Mahi Desai"/>
    <s v="Medium"/>
    <x v="4"/>
    <s v="Gurugram"/>
    <s v="Cash on delivery"/>
    <x v="0"/>
  </r>
  <r>
    <s v="ORD1049"/>
    <d v="2025-01-24T00:00:00"/>
    <s v="C049"/>
    <s v="P049"/>
    <n v="5"/>
    <n v="2500"/>
    <n v="12500"/>
    <n v="0"/>
    <n v="0"/>
    <n v="5000"/>
    <n v="17500"/>
    <n v="5000"/>
    <s v="Parth Thakur"/>
    <s v="Medium"/>
    <x v="0"/>
    <s v="Gurugram"/>
    <s v="Cash on delivery"/>
    <x v="0"/>
  </r>
  <r>
    <s v="ORD1050"/>
    <d v="2025-01-24T00:00:00"/>
    <s v="C050"/>
    <s v="P050"/>
    <n v="4"/>
    <n v="4000"/>
    <n v="16000"/>
    <n v="0"/>
    <n v="0"/>
    <n v="6400"/>
    <n v="22400"/>
    <n v="6400"/>
    <s v="Aanya Kohli"/>
    <s v="Medium"/>
    <x v="12"/>
    <s v="Gurugram"/>
    <s v="Cash on delivery"/>
    <x v="0"/>
  </r>
  <r>
    <s v="ORD1051"/>
    <d v="2025-01-24T00:00:00"/>
    <s v="C051"/>
    <s v="P051"/>
    <n v="3"/>
    <n v="3000"/>
    <n v="9000"/>
    <n v="0.05"/>
    <n v="450"/>
    <n v="3600"/>
    <n v="12150"/>
    <n v="3150"/>
    <s v="Aarav Singh"/>
    <s v="Medium"/>
    <x v="6"/>
    <s v="Gurugram"/>
    <s v="Credit Card"/>
    <x v="0"/>
  </r>
  <r>
    <s v="ORD1052"/>
    <d v="2025-01-24T00:00:00"/>
    <s v="C052"/>
    <s v="P052"/>
    <n v="2"/>
    <n v="30000"/>
    <n v="60000"/>
    <n v="0.1"/>
    <n v="6000"/>
    <n v="24000"/>
    <n v="78000"/>
    <n v="18000"/>
    <s v="Aditi Reddy"/>
    <s v="Large"/>
    <x v="3"/>
    <s v="Gurugram"/>
    <s v="Credit Card"/>
    <x v="1"/>
  </r>
  <r>
    <s v="ORD1053"/>
    <d v="2025-01-24T00:00:00"/>
    <s v="C053"/>
    <s v="P053"/>
    <n v="1"/>
    <n v="15000"/>
    <n v="15000"/>
    <n v="7.0000000000000007E-2"/>
    <n v="1050"/>
    <n v="6000"/>
    <n v="19950"/>
    <n v="4950"/>
    <s v="Arjun Das"/>
    <s v="Medium"/>
    <x v="3"/>
    <s v="Gurugram"/>
    <s v="EMI "/>
    <x v="1"/>
  </r>
  <r>
    <s v="ORD1054"/>
    <d v="2025-01-24T00:00:00"/>
    <s v="C054"/>
    <s v="P054"/>
    <n v="11"/>
    <n v="800"/>
    <n v="8800"/>
    <n v="0.05"/>
    <n v="440"/>
    <n v="3520"/>
    <n v="11880"/>
    <n v="3080"/>
    <s v="Ananya Arora"/>
    <s v="Medium"/>
    <x v="3"/>
    <s v="Gurugram"/>
    <s v="Credit Card"/>
    <x v="0"/>
  </r>
  <r>
    <s v="ORD1055"/>
    <d v="2025-01-24T00:00:00"/>
    <s v="C055"/>
    <s v="P055"/>
    <n v="12"/>
    <n v="1000"/>
    <n v="12000"/>
    <n v="0.1"/>
    <n v="1200"/>
    <n v="4800"/>
    <n v="15600"/>
    <n v="3600"/>
    <s v="Aditya Desai"/>
    <s v="Medium"/>
    <x v="3"/>
    <s v="Gurugram"/>
    <s v="Credit Card"/>
    <x v="0"/>
  </r>
  <r>
    <s v="ORD1056"/>
    <d v="2025-01-24T00:00:00"/>
    <s v="C056"/>
    <s v="P056"/>
    <n v="12"/>
    <n v="1200"/>
    <n v="14400"/>
    <n v="7.0000000000000007E-2"/>
    <n v="1008.0000000000001"/>
    <n v="5760"/>
    <n v="19152"/>
    <n v="4752"/>
    <s v="Ishita Thakur"/>
    <s v="Medium"/>
    <x v="3"/>
    <s v="Gurugram"/>
    <s v="EMI "/>
    <x v="0"/>
  </r>
  <r>
    <s v="ORD1057"/>
    <d v="2025-01-24T00:00:00"/>
    <s v="C057"/>
    <s v="P057"/>
    <n v="13"/>
    <n v="3600"/>
    <n v="46800"/>
    <n v="0.25"/>
    <n v="11700"/>
    <n v="18720"/>
    <n v="53820"/>
    <n v="7020"/>
    <s v="Kabir Kohli"/>
    <s v="Large"/>
    <x v="3"/>
    <s v="Gurugram"/>
    <s v="Credit Card"/>
    <x v="1"/>
  </r>
  <r>
    <s v="ORD1058"/>
    <d v="2025-01-24T00:00:00"/>
    <s v="C058"/>
    <s v="P058"/>
    <n v="14"/>
    <n v="4500"/>
    <n v="63000"/>
    <n v="0.05"/>
    <n v="3150"/>
    <n v="25200"/>
    <n v="85050"/>
    <n v="22050"/>
    <s v="Meera Mehta"/>
    <s v="Large"/>
    <x v="11"/>
    <s v="Gurugram"/>
    <s v="No Cost EMI"/>
    <x v="1"/>
  </r>
  <r>
    <s v="ORD1059"/>
    <d v="2025-01-24T00:00:00"/>
    <s v="C059"/>
    <s v="P059"/>
    <n v="15"/>
    <n v="2500"/>
    <n v="37500"/>
    <n v="0.12"/>
    <n v="4500"/>
    <n v="15000"/>
    <n v="48000"/>
    <n v="10500"/>
    <s v="Rohan Patel"/>
    <s v="Large"/>
    <x v="16"/>
    <s v="Gurugram"/>
    <s v="Buy Now Pay later"/>
    <x v="0"/>
  </r>
  <r>
    <s v="ORD1060"/>
    <d v="2025-01-24T00:00:00"/>
    <s v="C060"/>
    <s v="P060"/>
    <n v="16"/>
    <n v="1525"/>
    <n v="24400"/>
    <n v="0.15"/>
    <n v="3660"/>
    <n v="9760"/>
    <n v="30500"/>
    <n v="6100"/>
    <s v="Priya Khan"/>
    <s v="Large"/>
    <x v="7"/>
    <s v="Gurugram"/>
    <s v="Buy Now Pay later"/>
    <x v="1"/>
  </r>
  <r>
    <s v="ORD1061"/>
    <d v="2025-01-24T00:00:00"/>
    <s v="C061"/>
    <s v="P061"/>
    <n v="1"/>
    <n v="85000"/>
    <n v="85000"/>
    <n v="0.05"/>
    <n v="4250"/>
    <n v="34000"/>
    <n v="114750"/>
    <n v="29750"/>
    <s v="Rahul Khanna"/>
    <s v="Industrial"/>
    <x v="3"/>
    <s v="Gurugram"/>
    <s v="Credit Card"/>
    <x v="0"/>
  </r>
  <r>
    <s v="ORD1062"/>
    <d v="2025-01-24T00:00:00"/>
    <s v="C062"/>
    <s v="P062"/>
    <n v="17"/>
    <n v="500"/>
    <n v="8500"/>
    <n v="0.05"/>
    <n v="425"/>
    <n v="3400"/>
    <n v="11475"/>
    <n v="2975"/>
    <s v="Sneha Kulkarni"/>
    <s v="Medium"/>
    <x v="0"/>
    <s v="Gurugram"/>
    <s v="Cash on delivery"/>
    <x v="1"/>
  </r>
  <r>
    <s v="ORD1063"/>
    <d v="2025-01-24T00:00:00"/>
    <s v="C063"/>
    <s v="P063"/>
    <n v="18"/>
    <n v="800"/>
    <n v="14400"/>
    <n v="0.05"/>
    <n v="720"/>
    <n v="5760"/>
    <n v="19440"/>
    <n v="5040"/>
    <s v="Vihaan Yadav"/>
    <s v="Medium"/>
    <x v="3"/>
    <s v="Gurugram"/>
    <s v="Cash on delivery"/>
    <x v="1"/>
  </r>
  <r>
    <s v="ORD1064"/>
    <d v="2025-01-24T00:00:00"/>
    <s v="C064"/>
    <s v="P064"/>
    <n v="18"/>
    <n v="1000"/>
    <n v="18000"/>
    <n v="0.05"/>
    <n v="900"/>
    <n v="7200"/>
    <n v="24300"/>
    <n v="6300"/>
    <s v="Diya Mathur"/>
    <s v="Medium"/>
    <x v="3"/>
    <s v="Gurugram"/>
    <s v="Credit Card"/>
    <x v="1"/>
  </r>
  <r>
    <s v="ORD1065"/>
    <d v="2025-01-24T00:00:00"/>
    <s v="C065"/>
    <s v="P065"/>
    <n v="2"/>
    <n v="30000"/>
    <n v="60000"/>
    <n v="0.1"/>
    <n v="6000"/>
    <n v="24000"/>
    <n v="78000"/>
    <n v="18000"/>
    <s v="Karan Gupta"/>
    <s v="Large"/>
    <x v="3"/>
    <s v="Gurugram"/>
    <s v="No Cost EMI"/>
    <x v="1"/>
  </r>
  <r>
    <s v="ORD1066"/>
    <d v="2025-01-24T00:00:00"/>
    <s v="C066"/>
    <s v="P066"/>
    <n v="3"/>
    <n v="4000"/>
    <n v="12000"/>
    <n v="0.1"/>
    <n v="1200"/>
    <n v="4800"/>
    <n v="15600"/>
    <n v="3600"/>
    <s v="Neha Iyer"/>
    <s v="Medium"/>
    <x v="3"/>
    <s v="Kochi"/>
    <s v="Credit Card"/>
    <x v="1"/>
  </r>
  <r>
    <s v="ORD1067"/>
    <d v="2025-01-24T00:00:00"/>
    <s v="C067"/>
    <s v="P067"/>
    <n v="4"/>
    <n v="5000"/>
    <n v="20000"/>
    <n v="0.1"/>
    <n v="2000"/>
    <n v="8000"/>
    <n v="26000"/>
    <n v="6000"/>
    <s v="Aryan Mishra"/>
    <s v="Medium"/>
    <x v="7"/>
    <s v="Coimbatore"/>
    <s v="Credit Card"/>
    <x v="1"/>
  </r>
  <r>
    <s v="ORD1068"/>
    <d v="2025-01-24T00:00:00"/>
    <s v="C068"/>
    <s v="P068"/>
    <n v="5"/>
    <n v="6000"/>
    <n v="30000"/>
    <n v="0.1"/>
    <n v="3000"/>
    <n v="12000"/>
    <n v="39000"/>
    <n v="9000"/>
    <s v="Kavya Pandey"/>
    <s v="Large"/>
    <x v="6"/>
    <s v="Kanpur"/>
    <s v="Credit Card"/>
    <x v="1"/>
  </r>
  <r>
    <s v="ORD1069"/>
    <d v="2025-01-24T00:00:00"/>
    <s v="C069"/>
    <s v="P069"/>
    <n v="6"/>
    <n v="1000"/>
    <n v="6000"/>
    <n v="0.05"/>
    <n v="300"/>
    <n v="2400"/>
    <n v="8100"/>
    <n v="2100"/>
    <s v="Yash Srivastava"/>
    <s v="Small"/>
    <x v="6"/>
    <s v="Kanpur"/>
    <s v="Cash on delivery"/>
    <x v="1"/>
  </r>
  <r>
    <s v="ORD1070"/>
    <d v="2025-01-24T00:00:00"/>
    <s v="C070"/>
    <s v="P070"/>
    <n v="7"/>
    <n v="800"/>
    <n v="5600"/>
    <n v="0.05"/>
    <n v="280"/>
    <n v="2240"/>
    <n v="7560"/>
    <n v="1960"/>
    <s v="Riya Dutta"/>
    <s v="Small"/>
    <x v="6"/>
    <s v="Lavasa"/>
    <s v="Cash on delivery"/>
    <x v="1"/>
  </r>
  <r>
    <s v="ORD1071"/>
    <d v="2025-01-24T00:00:00"/>
    <s v="C071"/>
    <s v="P071"/>
    <n v="8"/>
    <n v="200"/>
    <n v="1600"/>
    <n v="0"/>
    <n v="0"/>
    <n v="640"/>
    <n v="2240"/>
    <n v="640"/>
    <s v="Dev Sood"/>
    <s v="Micro"/>
    <x v="0"/>
    <s v="Ludhiana"/>
    <s v="Cash on delivery"/>
    <x v="1"/>
  </r>
  <r>
    <s v="ORD1072"/>
    <d v="2025-01-24T00:00:00"/>
    <s v="C072"/>
    <s v="P072"/>
    <n v="9"/>
    <n v="4590"/>
    <n v="41310"/>
    <n v="0.2"/>
    <n v="8262"/>
    <n v="16524"/>
    <n v="49572"/>
    <n v="8262"/>
    <s v="Nisha Verma"/>
    <s v="Large"/>
    <x v="8"/>
    <s v="Ahmedabad"/>
    <s v="Cash on delivery"/>
    <x v="1"/>
  </r>
  <r>
    <s v="ORD1073"/>
    <d v="2025-01-24T00:00:00"/>
    <s v="C073"/>
    <s v="P073"/>
    <n v="10"/>
    <n v="1375"/>
    <n v="13750"/>
    <n v="0"/>
    <n v="0"/>
    <n v="5500"/>
    <n v="19250"/>
    <n v="5500"/>
    <s v="Siddharth Agarwal"/>
    <s v="Medium"/>
    <x v="0"/>
    <s v="Faridabad"/>
    <s v="Cash on delivery"/>
    <x v="1"/>
  </r>
  <r>
    <s v="ORD1074"/>
    <d v="2025-01-24T00:00:00"/>
    <s v="C074"/>
    <s v="P074"/>
    <n v="1"/>
    <n v="30000"/>
    <n v="30000"/>
    <n v="0.05"/>
    <n v="1500"/>
    <n v="12000"/>
    <n v="40500"/>
    <n v="10500"/>
    <s v="Pooja Saxena"/>
    <s v="Large"/>
    <x v="3"/>
    <s v="Noida"/>
    <s v="Cash on delivery"/>
    <x v="1"/>
  </r>
  <r>
    <s v="ORD1075"/>
    <d v="2025-01-24T00:00:00"/>
    <s v="C075"/>
    <s v="P075"/>
    <n v="2"/>
    <n v="14000"/>
    <n v="28000"/>
    <n v="0"/>
    <n v="0"/>
    <n v="11200"/>
    <n v="39200"/>
    <n v="11200"/>
    <s v="Varun Tiwari"/>
    <s v="Large"/>
    <x v="3"/>
    <s v="Meerut"/>
    <s v="Cash on delivery"/>
    <x v="1"/>
  </r>
  <r>
    <s v="ORD1076"/>
    <d v="2025-01-24T00:00:00"/>
    <s v="C076"/>
    <s v="P076"/>
    <n v="3"/>
    <n v="1000"/>
    <n v="3000"/>
    <n v="0"/>
    <n v="0"/>
    <n v="1200"/>
    <n v="4200"/>
    <n v="1200"/>
    <s v="Simran Sinha"/>
    <s v="Micro"/>
    <x v="17"/>
    <s v="Patna"/>
    <s v="Cash on delivery"/>
    <x v="0"/>
  </r>
  <r>
    <s v="ORD1077"/>
    <d v="2025-01-24T00:00:00"/>
    <s v="C077"/>
    <s v="P077"/>
    <n v="4"/>
    <n v="250"/>
    <n v="1000"/>
    <n v="0"/>
    <n v="0"/>
    <n v="400"/>
    <n v="1400"/>
    <n v="400"/>
    <s v="Aniket Banerjee"/>
    <s v="Micro"/>
    <x v="3"/>
    <s v="Kolkata"/>
    <s v="Cash on delivery"/>
    <x v="0"/>
  </r>
  <r>
    <s v="ORD1078"/>
    <d v="2025-01-24T00:00:00"/>
    <s v="C078"/>
    <s v="P078"/>
    <n v="5"/>
    <n v="175"/>
    <n v="875"/>
    <n v="0"/>
    <n v="0"/>
    <n v="350"/>
    <n v="1225"/>
    <n v="350"/>
    <s v="Tanvi Vohra"/>
    <s v="Micro"/>
    <x v="7"/>
    <s v="Kolkata"/>
    <s v="UPI"/>
    <x v="0"/>
  </r>
  <r>
    <s v="ORD1079"/>
    <d v="2025-01-24T00:00:00"/>
    <s v="C079"/>
    <s v="P079"/>
    <n v="6"/>
    <n v="500"/>
    <n v="3000"/>
    <n v="0"/>
    <n v="0"/>
    <n v="1200"/>
    <n v="4200"/>
    <n v="1200"/>
    <s v="Manav Sharma"/>
    <s v="Micro"/>
    <x v="11"/>
    <s v="Delhi"/>
    <s v="UPI"/>
    <x v="0"/>
  </r>
  <r>
    <s v="ORD1080"/>
    <d v="2025-01-24T00:00:00"/>
    <s v="C080"/>
    <s v="P080"/>
    <n v="7"/>
    <n v="700"/>
    <n v="4900"/>
    <n v="0"/>
    <n v="0"/>
    <n v="1960"/>
    <n v="6860"/>
    <n v="1960"/>
    <s v="Shreya Bansal"/>
    <s v="Small"/>
    <x v="11"/>
    <s v="Amravati"/>
    <s v="UPI"/>
    <x v="0"/>
  </r>
  <r>
    <s v="ORD1081"/>
    <d v="2025-01-24T00:00:00"/>
    <s v="C081"/>
    <s v="P081"/>
    <n v="8"/>
    <n v="1200"/>
    <n v="9600"/>
    <n v="0"/>
    <n v="0"/>
    <n v="3840"/>
    <n v="13440"/>
    <n v="3840"/>
    <s v="Vivaan Chopra"/>
    <s v="Medium"/>
    <x v="8"/>
    <s v="Noida"/>
    <s v="UPI"/>
    <x v="1"/>
  </r>
  <r>
    <s v="ORD1082"/>
    <d v="2025-01-24T00:00:00"/>
    <s v="C082"/>
    <s v="P082"/>
    <n v="9"/>
    <n v="900"/>
    <n v="8100"/>
    <n v="0"/>
    <n v="0"/>
    <n v="3240"/>
    <n v="11340"/>
    <n v="3240"/>
    <s v="Avni Sethi"/>
    <s v="Medium"/>
    <x v="8"/>
    <s v="Noida"/>
    <s v="UPI"/>
    <x v="0"/>
  </r>
  <r>
    <s v="ORD1083"/>
    <d v="2025-01-24T00:00:00"/>
    <s v="C083"/>
    <s v="P083"/>
    <n v="1"/>
    <n v="105000"/>
    <n v="105000"/>
    <n v="0.05"/>
    <n v="5250"/>
    <n v="42000"/>
    <n v="141750"/>
    <n v="36750"/>
    <s v="Reyansh Jain"/>
    <s v="Wholesale"/>
    <x v="3"/>
    <s v="Gurugram"/>
    <s v="Credit Card"/>
    <x v="1"/>
  </r>
  <r>
    <s v="ORD1084"/>
    <d v="2025-01-24T00:00:00"/>
    <s v="C084"/>
    <s v="P084"/>
    <n v="2"/>
    <n v="12500"/>
    <n v="25000"/>
    <n v="0.15"/>
    <n v="3750"/>
    <n v="10000"/>
    <n v="31250"/>
    <n v="6250"/>
    <s v="Myra Mukherjee"/>
    <s v="Large"/>
    <x v="12"/>
    <s v="Gurugram"/>
    <s v="Credit Card"/>
    <x v="1"/>
  </r>
  <r>
    <s v="ORD1085"/>
    <d v="2025-01-24T00:00:00"/>
    <s v="C085"/>
    <s v="P085"/>
    <n v="3"/>
    <n v="350"/>
    <n v="1050"/>
    <n v="0"/>
    <n v="0"/>
    <n v="420"/>
    <n v="1470"/>
    <n v="420"/>
    <s v="Krish Dubey"/>
    <s v="Micro"/>
    <x v="18"/>
    <s v="Gurugram"/>
    <s v="UPI"/>
    <x v="0"/>
  </r>
  <r>
    <s v="ORD1086"/>
    <d v="2025-01-24T00:00:00"/>
    <s v="C086"/>
    <s v="P086"/>
    <n v="4"/>
    <n v="650"/>
    <n v="2600"/>
    <n v="0"/>
    <n v="0"/>
    <n v="1040"/>
    <n v="3640"/>
    <n v="1040"/>
    <s v="Kiara Naidu"/>
    <s v="Micro"/>
    <x v="18"/>
    <s v="Chennai"/>
    <s v="UPI"/>
    <x v="0"/>
  </r>
  <r>
    <s v="ORD1087"/>
    <d v="2025-01-24T00:00:00"/>
    <s v="C087"/>
    <s v="P087"/>
    <n v="5"/>
    <n v="1450"/>
    <n v="7250"/>
    <n v="0.1"/>
    <n v="725"/>
    <n v="2900"/>
    <n v="9425"/>
    <n v="2175"/>
    <s v="Atharv Malhotra"/>
    <s v="Small"/>
    <x v="19"/>
    <s v="Noida"/>
    <s v="Credit Card"/>
    <x v="0"/>
  </r>
  <r>
    <s v="ORD1088"/>
    <d v="2025-01-24T00:00:00"/>
    <s v="C088"/>
    <s v="P088"/>
    <n v="7"/>
    <n v="2500"/>
    <n v="17500"/>
    <n v="0.1"/>
    <n v="1750"/>
    <n v="7000"/>
    <n v="22750"/>
    <n v="5250"/>
    <s v="Anika Joshi"/>
    <s v="Medium"/>
    <x v="19"/>
    <s v="Mumbai"/>
    <s v="Credit Card"/>
    <x v="0"/>
  </r>
  <r>
    <s v="ORD1089"/>
    <d v="2025-01-24T00:00:00"/>
    <s v="C089"/>
    <s v="P089"/>
    <n v="8"/>
    <n v="799"/>
    <n v="6392"/>
    <n v="0"/>
    <n v="0"/>
    <n v="2556.8000000000002"/>
    <n v="8948.7999999999993"/>
    <n v="2556.7999999999993"/>
    <s v="Dhruv Chawla"/>
    <s v="Small"/>
    <x v="3"/>
    <s v="Delhi"/>
    <s v="UPI"/>
    <x v="1"/>
  </r>
  <r>
    <s v="ORD1090"/>
    <d v="2025-01-24T00:00:00"/>
    <s v="C090"/>
    <s v="P090"/>
    <n v="8"/>
    <n v="1200"/>
    <n v="9600"/>
    <n v="0.05"/>
    <n v="480"/>
    <n v="3840"/>
    <n v="12960"/>
    <n v="3360"/>
    <s v="Saanvi Goyal"/>
    <s v="Medium"/>
    <x v="3"/>
    <s v="Gurugram"/>
    <s v="UPI"/>
    <x v="1"/>
  </r>
  <r>
    <s v="ORD1091"/>
    <d v="2025-01-24T00:00:00"/>
    <s v="C091"/>
    <s v="P091"/>
    <n v="8"/>
    <n v="3450"/>
    <n v="27600"/>
    <n v="0.1"/>
    <n v="2760"/>
    <n v="11040"/>
    <n v="35880"/>
    <n v="8280"/>
    <s v="Rudra Pillai"/>
    <s v="Large"/>
    <x v="3"/>
    <s v="Coimbatore"/>
    <s v="Credit Card"/>
    <x v="1"/>
  </r>
  <r>
    <s v="ORD1092"/>
    <d v="2025-01-24T00:00:00"/>
    <s v="C092"/>
    <s v="P092"/>
    <n v="9"/>
    <n v="8100"/>
    <n v="72900"/>
    <n v="0.1"/>
    <n v="7290"/>
    <n v="29160"/>
    <n v="94770"/>
    <n v="21870"/>
    <s v="Navya Tripathi"/>
    <s v="Large"/>
    <x v="18"/>
    <s v="Ghaziabad"/>
    <s v="Credit Card"/>
    <x v="1"/>
  </r>
  <r>
    <s v="ORD1093"/>
    <d v="2025-01-24T00:00:00"/>
    <s v="C093"/>
    <s v="P093"/>
    <n v="6"/>
    <n v="550"/>
    <n v="3300"/>
    <n v="0"/>
    <n v="0"/>
    <n v="1320"/>
    <n v="4620"/>
    <n v="1320"/>
    <s v="Ayush Bhatt"/>
    <s v="Micro"/>
    <x v="0"/>
    <s v="Delhi"/>
    <s v="Credit Card"/>
    <x v="1"/>
  </r>
  <r>
    <s v="ORD1094"/>
    <d v="2025-01-25T00:00:00"/>
    <s v="C094"/>
    <s v="P094"/>
    <n v="5"/>
    <n v="1200"/>
    <n v="6000"/>
    <n v="0"/>
    <n v="0"/>
    <n v="2400"/>
    <n v="8400"/>
    <n v="2400"/>
    <s v="Tanya Kapoor"/>
    <s v="Small"/>
    <x v="3"/>
    <s v="Pune"/>
    <s v="UPI"/>
    <x v="1"/>
  </r>
  <r>
    <s v="ORD1095"/>
    <d v="2025-01-25T00:00:00"/>
    <s v="C095"/>
    <s v="P095"/>
    <n v="4"/>
    <n v="200"/>
    <n v="800"/>
    <n v="0"/>
    <n v="0"/>
    <n v="320"/>
    <n v="1120"/>
    <n v="320"/>
    <s v="Arnav Nair"/>
    <s v="Micro"/>
    <x v="0"/>
    <s v="Delhi"/>
    <s v="UPI"/>
    <x v="1"/>
  </r>
  <r>
    <s v="ORD1096"/>
    <d v="2025-01-25T00:00:00"/>
    <s v="C096"/>
    <s v="P096"/>
    <n v="3"/>
    <n v="550"/>
    <n v="1650"/>
    <n v="0"/>
    <n v="0"/>
    <n v="660"/>
    <n v="2310"/>
    <n v="660"/>
    <s v="Ira Rao"/>
    <s v="Micro"/>
    <x v="5"/>
    <s v="Jammu"/>
    <s v="UPI"/>
    <x v="1"/>
  </r>
  <r>
    <s v="ORD1097"/>
    <d v="2025-01-25T00:00:00"/>
    <s v="C097"/>
    <s v="P097"/>
    <n v="3"/>
    <n v="650"/>
    <n v="1950"/>
    <n v="0"/>
    <n v="0"/>
    <n v="780"/>
    <n v="2730"/>
    <n v="780"/>
    <s v="Shaurya Bhatia"/>
    <s v="Micro"/>
    <x v="3"/>
    <s v="Karnal"/>
    <s v="UPI"/>
    <x v="1"/>
  </r>
  <r>
    <s v="ORD1098"/>
    <d v="2025-01-25T00:00:00"/>
    <s v="C098"/>
    <s v="P098"/>
    <n v="8"/>
    <n v="3000"/>
    <n v="24000"/>
    <n v="0"/>
    <n v="0"/>
    <n v="9600"/>
    <n v="33600"/>
    <n v="9600"/>
    <s v="Mahi Menon"/>
    <s v="Large"/>
    <x v="3"/>
    <s v="Jaipur"/>
    <s v="Credit Card"/>
    <x v="1"/>
  </r>
  <r>
    <s v="ORD1099"/>
    <d v="2025-01-25T00:00:00"/>
    <s v="C099"/>
    <s v="P099"/>
    <n v="7"/>
    <n v="700"/>
    <n v="4900"/>
    <n v="0"/>
    <n v="0"/>
    <n v="1960"/>
    <n v="6860"/>
    <n v="1960"/>
    <s v="Parth Shukla"/>
    <s v="Small"/>
    <x v="0"/>
    <s v="Jaipur"/>
    <s v="UPI"/>
    <x v="1"/>
  </r>
  <r>
    <s v="ORD1100"/>
    <d v="2025-01-25T00:00:00"/>
    <s v="C100"/>
    <s v="P100"/>
    <n v="6"/>
    <n v="14500"/>
    <n v="87000"/>
    <n v="0.25"/>
    <n v="21750"/>
    <n v="34800"/>
    <n v="100050"/>
    <n v="13050"/>
    <s v="Aanya Ahuja"/>
    <s v="Industrial"/>
    <x v="3"/>
    <s v="Delhi"/>
    <s v="Credit Card"/>
    <x v="1"/>
  </r>
  <r>
    <s v="ORD1101"/>
    <d v="2025-01-25T00:00:00"/>
    <s v="C101"/>
    <s v="P101"/>
    <n v="5"/>
    <n v="12500"/>
    <n v="62500"/>
    <n v="0.2"/>
    <n v="12500"/>
    <n v="25000"/>
    <n v="75000"/>
    <n v="12500"/>
    <s v="Aarav Kapoor"/>
    <s v="Large"/>
    <x v="3"/>
    <s v="Delhi"/>
    <s v="Credit Card"/>
    <x v="1"/>
  </r>
  <r>
    <s v="ORD1102"/>
    <d v="2025-01-25T00:00:00"/>
    <s v="C102"/>
    <s v="P102"/>
    <n v="4"/>
    <n v="10500"/>
    <n v="42000"/>
    <n v="0.15"/>
    <n v="6300"/>
    <n v="16800"/>
    <n v="52500"/>
    <n v="10500"/>
    <s v="Aditi Nair"/>
    <s v="Large"/>
    <x v="3"/>
    <s v="Kochi"/>
    <s v="Credit Card"/>
    <x v="1"/>
  </r>
  <r>
    <s v="ORD1103"/>
    <d v="2025-01-25T00:00:00"/>
    <s v="C103"/>
    <s v="P103"/>
    <n v="5"/>
    <n v="25000"/>
    <n v="125000"/>
    <n v="0.15"/>
    <n v="18750"/>
    <n v="50000"/>
    <n v="156250"/>
    <n v="31250"/>
    <s v="Arjun Rao"/>
    <s v="Wholesale"/>
    <x v="3"/>
    <s v="pune"/>
    <s v="EMI "/>
    <x v="1"/>
  </r>
  <r>
    <s v="ORD1104"/>
    <d v="2025-01-25T00:00:00"/>
    <s v="C104"/>
    <s v="P104"/>
    <n v="3"/>
    <n v="12000"/>
    <n v="36000"/>
    <n v="0.1"/>
    <n v="3600"/>
    <n v="14400"/>
    <n v="46800"/>
    <n v="10800"/>
    <s v="Ananya Bhatia"/>
    <s v="Large"/>
    <x v="3"/>
    <s v="Delhi"/>
    <s v="No Cost EMI"/>
    <x v="1"/>
  </r>
  <r>
    <s v="ORD1105"/>
    <d v="2025-01-25T00:00:00"/>
    <s v="C105"/>
    <s v="P105"/>
    <n v="2"/>
    <n v="20000"/>
    <n v="40000"/>
    <n v="0.25"/>
    <n v="10000"/>
    <n v="16000"/>
    <n v="46000"/>
    <n v="6000"/>
    <s v="Aditya Menon"/>
    <s v="Large"/>
    <x v="3"/>
    <s v="ghaziabad"/>
    <s v="Credit Card"/>
    <x v="1"/>
  </r>
  <r>
    <s v="ORD1106"/>
    <d v="2025-01-25T00:00:00"/>
    <s v="C106"/>
    <s v="P106"/>
    <n v="3"/>
    <n v="30000"/>
    <n v="90000"/>
    <n v="0.16"/>
    <n v="14400"/>
    <n v="36000"/>
    <n v="111600"/>
    <n v="21600"/>
    <s v="Ishita Shukla"/>
    <s v="Industrial"/>
    <x v="3"/>
    <s v="Faridabad"/>
    <s v="EMI "/>
    <x v="1"/>
  </r>
  <r>
    <s v="ORD1107"/>
    <d v="2025-01-25T00:00:00"/>
    <s v="C107"/>
    <s v="P107"/>
    <n v="4"/>
    <n v="40000"/>
    <n v="160000"/>
    <n v="0.05"/>
    <n v="8000"/>
    <n v="64000"/>
    <n v="216000"/>
    <n v="56000"/>
    <s v="Kabir Ahuja"/>
    <s v="Wholesale"/>
    <x v="3"/>
    <s v="Gurugram"/>
    <s v="EMI "/>
    <x v="1"/>
  </r>
  <r>
    <s v="ORD1108"/>
    <d v="2025-01-25T00:00:00"/>
    <s v="C108"/>
    <s v="P108"/>
    <n v="4"/>
    <n v="32000"/>
    <n v="128000"/>
    <n v="0.05"/>
    <n v="6400"/>
    <n v="51200"/>
    <n v="172800"/>
    <n v="44800"/>
    <s v="Meera Singh"/>
    <s v="Wholesale"/>
    <x v="3"/>
    <s v="Delhi"/>
    <s v="No Cost EMI"/>
    <x v="1"/>
  </r>
  <r>
    <s v="ORD1109"/>
    <d v="2025-01-25T00:00:00"/>
    <s v="C109"/>
    <s v="P109"/>
    <n v="2"/>
    <n v="70000"/>
    <n v="140000"/>
    <n v="0.05"/>
    <n v="7000"/>
    <n v="56000"/>
    <n v="189000"/>
    <n v="49000"/>
    <s v="Rohan Reddy"/>
    <s v="Wholesale"/>
    <x v="3"/>
    <s v="Bangalore"/>
    <s v="No Cost EMI"/>
    <x v="1"/>
  </r>
  <r>
    <s v="ORD1110"/>
    <d v="2025-01-25T00:00:00"/>
    <s v="C110"/>
    <s v="P110"/>
    <n v="11"/>
    <n v="15600"/>
    <n v="171600"/>
    <n v="0.1"/>
    <n v="17160"/>
    <n v="68640"/>
    <n v="223080"/>
    <n v="51480"/>
    <s v="Priya Das"/>
    <s v="Wholesale"/>
    <x v="3"/>
    <s v="Kolkata"/>
    <s v="EMI "/>
    <x v="1"/>
  </r>
  <r>
    <s v="ORD1111"/>
    <d v="2025-01-25T00:00:00"/>
    <s v="C111"/>
    <s v="P111"/>
    <n v="22"/>
    <n v="25000"/>
    <n v="550000"/>
    <n v="0.25"/>
    <n v="137500"/>
    <n v="220000"/>
    <n v="632500"/>
    <n v="82500"/>
    <s v="Rahul Arora"/>
    <s v="Wholesale"/>
    <x v="3"/>
    <s v="Gurugram"/>
    <s v="Buy Now Pay later"/>
    <x v="1"/>
  </r>
  <r>
    <s v="ORD1112"/>
    <d v="2025-01-25T00:00:00"/>
    <s v="C112"/>
    <s v="P112"/>
    <n v="13"/>
    <n v="14000"/>
    <n v="182000"/>
    <n v="0.1"/>
    <n v="18200"/>
    <n v="72800"/>
    <n v="236600"/>
    <n v="54600"/>
    <s v="Sneha Desai"/>
    <s v="Wholesale"/>
    <x v="20"/>
    <s v="Ghaziabad"/>
    <s v="Buy Now Pay later"/>
    <x v="1"/>
  </r>
  <r>
    <s v="ORD1113"/>
    <d v="2025-01-25T00:00:00"/>
    <s v="C113"/>
    <s v="P113"/>
    <n v="15"/>
    <n v="7500"/>
    <n v="112500"/>
    <n v="0.05"/>
    <n v="5625"/>
    <n v="45000"/>
    <n v="151875"/>
    <n v="39375"/>
    <s v="Vihaan Thakur"/>
    <s v="Wholesale"/>
    <x v="20"/>
    <s v="Faridabad"/>
    <s v="No Cost EMI"/>
    <x v="1"/>
  </r>
  <r>
    <s v="ORD1114"/>
    <d v="2025-01-25T00:00:00"/>
    <s v="C114"/>
    <s v="P114"/>
    <n v="15"/>
    <n v="4500"/>
    <n v="67500"/>
    <n v="0.1"/>
    <n v="6750"/>
    <n v="27000"/>
    <n v="87750"/>
    <n v="20250"/>
    <s v="Diya Kohli"/>
    <s v="Large"/>
    <x v="20"/>
    <s v="Delhi"/>
    <s v="EMI "/>
    <x v="1"/>
  </r>
  <r>
    <s v="ORD1115"/>
    <d v="2025-01-25T00:00:00"/>
    <s v="C115"/>
    <s v="P115"/>
    <n v="16"/>
    <n v="1450"/>
    <n v="23200"/>
    <n v="0.05"/>
    <n v="1160"/>
    <n v="9280"/>
    <n v="31320"/>
    <n v="8120"/>
    <s v="Karan Mehta"/>
    <s v="Large"/>
    <x v="20"/>
    <s v="Surat"/>
    <s v="UPI"/>
    <x v="1"/>
  </r>
  <r>
    <s v="ORD1116"/>
    <d v="2025-01-25T00:00:00"/>
    <s v="C116"/>
    <s v="P116"/>
    <n v="2"/>
    <n v="12500"/>
    <n v="25000"/>
    <n v="0.15"/>
    <n v="3750"/>
    <n v="10000"/>
    <n v="31250"/>
    <n v="6250"/>
    <s v="Neha Patel"/>
    <s v="Large"/>
    <x v="3"/>
    <s v="Surat"/>
    <s v="Credit Card"/>
    <x v="1"/>
  </r>
  <r>
    <s v="ORD1117"/>
    <d v="2025-01-25T00:00:00"/>
    <s v="C117"/>
    <s v="P117"/>
    <n v="3"/>
    <n v="3500"/>
    <n v="10500"/>
    <n v="0"/>
    <n v="0"/>
    <n v="4200"/>
    <n v="14700"/>
    <n v="4200"/>
    <s v="Aryan Khan"/>
    <s v="Medium"/>
    <x v="3"/>
    <s v="Mumbai"/>
    <s v="Credit Card"/>
    <x v="1"/>
  </r>
  <r>
    <s v="ORD1118"/>
    <d v="2025-01-25T00:00:00"/>
    <s v="C118"/>
    <s v="P118"/>
    <n v="4"/>
    <n v="124500"/>
    <n v="498000"/>
    <n v="0.15"/>
    <n v="74700"/>
    <n v="199200"/>
    <n v="622500"/>
    <n v="124500"/>
    <s v="Kavya Khanna"/>
    <s v="Wholesale"/>
    <x v="3"/>
    <s v="Delhi"/>
    <s v="Credit Card"/>
    <x v="0"/>
  </r>
  <r>
    <s v="ORD1119"/>
    <d v="2025-01-25T00:00:00"/>
    <s v="C119"/>
    <s v="P119"/>
    <n v="5"/>
    <n v="15200"/>
    <n v="76000"/>
    <n v="0.05"/>
    <n v="3800"/>
    <n v="30400"/>
    <n v="102600"/>
    <n v="26600"/>
    <s v="Yash Kulkarni"/>
    <s v="Industrial"/>
    <x v="3"/>
    <s v="Karnal"/>
    <s v="UPI"/>
    <x v="0"/>
  </r>
  <r>
    <s v="ORD1120"/>
    <d v="2025-01-25T00:00:00"/>
    <s v="C120"/>
    <s v="P120"/>
    <n v="6"/>
    <n v="23565"/>
    <n v="141390"/>
    <n v="0.15"/>
    <n v="21208.5"/>
    <n v="56556"/>
    <n v="176737.5"/>
    <n v="35347.5"/>
    <s v="Riya Yadav"/>
    <s v="Wholesale"/>
    <x v="3"/>
    <s v="Jind"/>
    <s v="Credit Card"/>
    <x v="0"/>
  </r>
  <r>
    <s v="ORD1121"/>
    <d v="2025-01-26T00:00:00"/>
    <s v="C121"/>
    <s v="P121"/>
    <n v="7"/>
    <n v="70000"/>
    <n v="490000"/>
    <n v="0.25"/>
    <n v="122500"/>
    <n v="196000"/>
    <n v="563500"/>
    <n v="73500"/>
    <s v="Dev Mathur"/>
    <s v="Wholesale"/>
    <x v="3"/>
    <s v="Rohtak"/>
    <s v="Credit Card"/>
    <x v="0"/>
  </r>
  <r>
    <s v="ORD1122"/>
    <d v="2025-01-26T00:00:00"/>
    <s v="C122"/>
    <s v="P122"/>
    <n v="8"/>
    <n v="8000"/>
    <n v="64000"/>
    <n v="0.15"/>
    <n v="9600"/>
    <n v="25600"/>
    <n v="80000"/>
    <n v="16000"/>
    <s v="Nisha Gupta"/>
    <s v="Large"/>
    <x v="19"/>
    <s v="Varanasi"/>
    <s v="Credit Card"/>
    <x v="0"/>
  </r>
  <r>
    <s v="ORD1123"/>
    <d v="2025-01-26T00:00:00"/>
    <s v="C123"/>
    <s v="P123"/>
    <n v="9"/>
    <n v="11000"/>
    <n v="99000"/>
    <n v="0.25"/>
    <n v="24750"/>
    <n v="39600"/>
    <n v="113850"/>
    <n v="14850"/>
    <s v="Siddharth Iyer"/>
    <s v="Industrial"/>
    <x v="19"/>
    <s v="Vishakhapatnam"/>
    <s v="Credit Card"/>
    <x v="0"/>
  </r>
  <r>
    <s v="ORD1124"/>
    <d v="2025-01-26T00:00:00"/>
    <s v="C124"/>
    <s v="P124"/>
    <n v="8"/>
    <n v="14000"/>
    <n v="112000"/>
    <n v="0.15"/>
    <n v="16800"/>
    <n v="44800"/>
    <n v="140000"/>
    <n v="28000"/>
    <s v="Pooja Mishra"/>
    <s v="Wholesale"/>
    <x v="19"/>
    <s v="Ayodhya"/>
    <s v="Credit Card"/>
    <x v="0"/>
  </r>
  <r>
    <s v="ORD1125"/>
    <d v="2025-01-26T00:00:00"/>
    <s v="C125"/>
    <s v="P125"/>
    <n v="9"/>
    <n v="17000"/>
    <n v="153000"/>
    <n v="0.25"/>
    <n v="38250"/>
    <n v="61200"/>
    <n v="175950"/>
    <n v="22950"/>
    <s v="Varun Pandey"/>
    <s v="Wholesale"/>
    <x v="19"/>
    <s v="Ayodhya"/>
    <s v="EMI "/>
    <x v="0"/>
  </r>
  <r>
    <s v="ORD1126"/>
    <d v="2025-01-26T00:00:00"/>
    <s v="C126"/>
    <s v="P126"/>
    <n v="8"/>
    <n v="20000"/>
    <n v="160000"/>
    <n v="0.15"/>
    <n v="24000"/>
    <n v="64000"/>
    <n v="200000"/>
    <n v="40000"/>
    <s v="Simran Srivastava"/>
    <s v="Wholesale"/>
    <x v="21"/>
    <s v="Ghaziabad"/>
    <s v="EMI "/>
    <x v="0"/>
  </r>
  <r>
    <s v="ORD1127"/>
    <d v="2025-01-26T00:00:00"/>
    <s v="C127"/>
    <s v="P127"/>
    <n v="9"/>
    <n v="23000"/>
    <n v="207000"/>
    <n v="0.25"/>
    <n v="51750"/>
    <n v="82800"/>
    <n v="238050"/>
    <n v="31050"/>
    <s v="Aniket Dutta"/>
    <s v="Wholesale"/>
    <x v="19"/>
    <s v="Noida"/>
    <s v="EMI "/>
    <x v="0"/>
  </r>
  <r>
    <s v="ORD1128"/>
    <d v="2025-01-26T00:00:00"/>
    <s v="C128"/>
    <s v="P128"/>
    <n v="8"/>
    <n v="26000"/>
    <n v="208000"/>
    <n v="0.15"/>
    <n v="31200"/>
    <n v="83200"/>
    <n v="260000"/>
    <n v="52000"/>
    <s v="Tanvi Sood"/>
    <s v="Wholesale"/>
    <x v="19"/>
    <s v="Chandigarh"/>
    <s v="EMI "/>
    <x v="0"/>
  </r>
  <r>
    <s v="ORD1129"/>
    <d v="2025-01-26T00:00:00"/>
    <s v="C129"/>
    <s v="P129"/>
    <n v="9"/>
    <n v="29000"/>
    <n v="261000"/>
    <n v="0.25"/>
    <n v="65250"/>
    <n v="104400"/>
    <n v="300150"/>
    <n v="39150"/>
    <s v="Manav Verma"/>
    <s v="Wholesale"/>
    <x v="19"/>
    <s v="Chandigarh"/>
    <s v="EMI "/>
    <x v="0"/>
  </r>
  <r>
    <s v="ORD1130"/>
    <d v="2025-01-26T00:00:00"/>
    <s v="C130"/>
    <s v="P130"/>
    <n v="9"/>
    <n v="32000"/>
    <n v="288000"/>
    <n v="0.15"/>
    <n v="43200"/>
    <n v="115200"/>
    <n v="360000"/>
    <n v="72000"/>
    <s v="Shreya Agarwal"/>
    <s v="Wholesale"/>
    <x v="3"/>
    <s v="Delhi"/>
    <s v="EMI "/>
    <x v="1"/>
  </r>
  <r>
    <s v="ORD1131"/>
    <d v="2025-01-26T00:00:00"/>
    <s v="C131"/>
    <s v="P131"/>
    <n v="9"/>
    <n v="35000"/>
    <n v="315000"/>
    <n v="0.02"/>
    <n v="6300"/>
    <n v="126000"/>
    <n v="434700"/>
    <n v="119700"/>
    <s v="Vivaan Saxena"/>
    <s v="Wholesale"/>
    <x v="19"/>
    <s v="Delhi"/>
    <s v="EMI "/>
    <x v="1"/>
  </r>
  <r>
    <s v="ORD1132"/>
    <d v="2025-01-26T00:00:00"/>
    <s v="C132"/>
    <s v="P132"/>
    <n v="8"/>
    <n v="38000"/>
    <n v="304000"/>
    <n v="0.02"/>
    <n v="6080"/>
    <n v="121600"/>
    <n v="419520"/>
    <n v="115520"/>
    <s v="Avni Tiwari"/>
    <s v="Wholesale"/>
    <x v="8"/>
    <s v="Delhi"/>
    <s v="EMI "/>
    <x v="1"/>
  </r>
  <r>
    <s v="ORD1133"/>
    <d v="2025-01-26T00:00:00"/>
    <s v="C133"/>
    <s v="P133"/>
    <n v="7"/>
    <n v="41000"/>
    <n v="287000"/>
    <n v="0.2"/>
    <n v="57400"/>
    <n v="114800"/>
    <n v="344400"/>
    <n v="57400"/>
    <s v="Reyansh Sinha"/>
    <s v="Wholesale"/>
    <x v="8"/>
    <s v="Delhi"/>
    <s v="EMI "/>
    <x v="1"/>
  </r>
  <r>
    <s v="ORD1134"/>
    <d v="2025-01-26T00:00:00"/>
    <s v="C134"/>
    <s v="P134"/>
    <n v="2"/>
    <n v="47500"/>
    <n v="95000"/>
    <n v="0.1"/>
    <n v="9500"/>
    <n v="38000"/>
    <n v="123500"/>
    <n v="28500"/>
    <s v="Myra Banerjee"/>
    <s v="Industrial"/>
    <x v="8"/>
    <s v="Kolkata"/>
    <s v="EMI "/>
    <x v="1"/>
  </r>
  <r>
    <s v="ORD1135"/>
    <d v="2025-01-26T00:00:00"/>
    <s v="C135"/>
    <s v="P135"/>
    <n v="2"/>
    <n v="49000"/>
    <n v="98000"/>
    <n v="0.15"/>
    <n v="14700"/>
    <n v="39200"/>
    <n v="122500"/>
    <n v="24500"/>
    <s v="Krish Vohra"/>
    <s v="Industrial"/>
    <x v="8"/>
    <s v="Mumbai"/>
    <s v="EMI "/>
    <x v="1"/>
  </r>
  <r>
    <s v="ORD1136"/>
    <d v="2025-01-26T00:00:00"/>
    <s v="C136"/>
    <s v="P136"/>
    <n v="2"/>
    <n v="51500"/>
    <n v="103000"/>
    <n v="0.2"/>
    <n v="20600"/>
    <n v="41200"/>
    <n v="123600"/>
    <n v="20600"/>
    <s v="Kiara Sharma"/>
    <s v="Industrial"/>
    <x v="8"/>
    <s v="Pune"/>
    <s v="Credit Card"/>
    <x v="1"/>
  </r>
  <r>
    <s v="ORD1137"/>
    <d v="2025-01-26T00:00:00"/>
    <s v="C137"/>
    <s v="P137"/>
    <n v="1"/>
    <n v="70000"/>
    <n v="70000"/>
    <n v="0.125"/>
    <n v="8750"/>
    <n v="28000"/>
    <n v="89250"/>
    <n v="19250"/>
    <s v="Atharv Bansal"/>
    <s v="Large"/>
    <x v="3"/>
    <s v="Chandigarh"/>
    <s v="EMI "/>
    <x v="1"/>
  </r>
  <r>
    <s v="ORD1138"/>
    <d v="2025-01-26T00:00:00"/>
    <s v="C138"/>
    <s v="P138"/>
    <n v="1"/>
    <n v="81000"/>
    <n v="81000"/>
    <n v="0.2"/>
    <n v="16200"/>
    <n v="32400"/>
    <n v="97200"/>
    <n v="16200"/>
    <s v="Anika Chopra"/>
    <s v="Large"/>
    <x v="3"/>
    <s v="Noida"/>
    <s v="EMI "/>
    <x v="1"/>
  </r>
  <r>
    <s v="ORD1139"/>
    <d v="2025-01-26T00:00:00"/>
    <s v="C139"/>
    <s v="P139"/>
    <n v="2"/>
    <n v="56000"/>
    <n v="112000"/>
    <n v="0.25"/>
    <n v="28000"/>
    <n v="44800"/>
    <n v="128800"/>
    <n v="16800"/>
    <s v="Dhruv Sethi"/>
    <s v="Wholesale"/>
    <x v="19"/>
    <s v="Ghaziabad"/>
    <s v="EMI "/>
    <x v="1"/>
  </r>
  <r>
    <s v="ORD1140"/>
    <d v="2025-01-26T00:00:00"/>
    <s v="C140"/>
    <s v="P140"/>
    <n v="1"/>
    <n v="35000"/>
    <n v="35000"/>
    <n v="0.05"/>
    <n v="1750"/>
    <n v="14000"/>
    <n v="47250"/>
    <n v="12250"/>
    <s v="Saanvi Jain"/>
    <s v="Large"/>
    <x v="3"/>
    <s v="Kanpur"/>
    <s v="Credit Card"/>
    <x v="1"/>
  </r>
  <r>
    <s v="ORD1141"/>
    <d v="2025-01-26T00:00:00"/>
    <s v="C141"/>
    <s v="P141"/>
    <n v="3"/>
    <n v="24500"/>
    <n v="73500"/>
    <n v="0.12"/>
    <n v="8820"/>
    <n v="29400"/>
    <n v="94080"/>
    <n v="20580"/>
    <s v="Rudra Mukherjee"/>
    <s v="Large"/>
    <x v="20"/>
    <s v="Aurangabad"/>
    <s v="EMI "/>
    <x v="1"/>
  </r>
  <r>
    <s v="ORD1142"/>
    <d v="2025-01-26T00:00:00"/>
    <s v="C142"/>
    <s v="P142"/>
    <n v="1"/>
    <n v="245000"/>
    <n v="245000"/>
    <n v="0.25"/>
    <n v="61250"/>
    <n v="98000"/>
    <n v="281750"/>
    <n v="36750"/>
    <s v="Navya Dubey"/>
    <s v="Wholesale"/>
    <x v="3"/>
    <s v="Aligarh "/>
    <s v="EMI "/>
    <x v="1"/>
  </r>
  <r>
    <s v="ORD1143"/>
    <d v="2025-01-26T00:00:00"/>
    <s v="C143"/>
    <s v="P143"/>
    <n v="2"/>
    <n v="34599"/>
    <n v="69198"/>
    <n v="0.25"/>
    <n v="17299.5"/>
    <n v="27679.200000000001"/>
    <n v="79577.7"/>
    <n v="10379.699999999997"/>
    <s v="Ayush Naidu"/>
    <s v="Large"/>
    <x v="3"/>
    <s v="Vizag"/>
    <s v="EMI "/>
    <x v="1"/>
  </r>
  <r>
    <s v="ORD1144"/>
    <d v="2025-01-26T00:00:00"/>
    <s v="C144"/>
    <s v="P144"/>
    <n v="3"/>
    <n v="45612"/>
    <n v="136836"/>
    <n v="0.2"/>
    <n v="27367.200000000001"/>
    <n v="54734.400000000001"/>
    <n v="164203.19999999998"/>
    <n v="27367.199999999983"/>
    <s v="Tanya Malhotra"/>
    <s v="Wholesale"/>
    <x v="3"/>
    <s v="Faridabad"/>
    <s v="Credit Card"/>
    <x v="1"/>
  </r>
  <r>
    <s v="ORD1145"/>
    <d v="2025-01-26T00:00:00"/>
    <s v="C145"/>
    <s v="P145"/>
    <n v="4"/>
    <n v="12345"/>
    <n v="49380"/>
    <n v="0.15"/>
    <n v="7407"/>
    <n v="19752"/>
    <n v="61725"/>
    <n v="12345"/>
    <s v="Arnav Joshi"/>
    <s v="Large"/>
    <x v="8"/>
    <s v="Kannauj"/>
    <s v="EMI "/>
    <x v="1"/>
  </r>
  <r>
    <s v="ORD1146"/>
    <d v="2025-01-26T00:00:00"/>
    <s v="C146"/>
    <s v="P146"/>
    <n v="1"/>
    <n v="30000"/>
    <n v="30000"/>
    <n v="0.1"/>
    <n v="3000"/>
    <n v="12000"/>
    <n v="39000"/>
    <n v="9000"/>
    <s v="Ira Chawla"/>
    <s v="Large"/>
    <x v="3"/>
    <s v="Rohtak"/>
    <s v="EMI "/>
    <x v="1"/>
  </r>
  <r>
    <s v="ORD1147"/>
    <d v="2025-01-26T00:00:00"/>
    <s v="C147"/>
    <s v="P147"/>
    <n v="3"/>
    <n v="31000"/>
    <n v="93000"/>
    <n v="0.14000000000000001"/>
    <n v="13020.000000000002"/>
    <n v="37200"/>
    <n v="117180"/>
    <n v="24180"/>
    <s v="Shaurya Goyal"/>
    <s v="Industrial"/>
    <x v="8"/>
    <s v="Sonipat"/>
    <s v="EMI "/>
    <x v="1"/>
  </r>
  <r>
    <s v="ORD1148"/>
    <d v="2025-01-26T00:00:00"/>
    <s v="C148"/>
    <s v="P148"/>
    <n v="3"/>
    <n v="32000"/>
    <n v="96000"/>
    <n v="0.25"/>
    <n v="24000"/>
    <n v="38400"/>
    <n v="110400"/>
    <n v="14400"/>
    <s v="Mahi Pillai"/>
    <s v="Industrial"/>
    <x v="19"/>
    <s v="Vizag"/>
    <s v="EMI "/>
    <x v="1"/>
  </r>
  <r>
    <s v="ORD1149"/>
    <d v="2025-01-26T00:00:00"/>
    <s v="C149"/>
    <s v="P149"/>
    <n v="3"/>
    <n v="33000"/>
    <n v="99000"/>
    <n v="0.35"/>
    <n v="34650"/>
    <n v="39600"/>
    <n v="103950"/>
    <n v="4950"/>
    <s v="Parth Tripathi"/>
    <s v="Industrial"/>
    <x v="8"/>
    <s v="Panipat"/>
    <s v="EMI "/>
    <x v="1"/>
  </r>
  <r>
    <s v="ORD1150"/>
    <d v="2025-01-26T00:00:00"/>
    <s v="C150"/>
    <s v="P150"/>
    <n v="3"/>
    <n v="34000"/>
    <n v="102000"/>
    <n v="0.25"/>
    <n v="25500"/>
    <n v="40800"/>
    <n v="117300"/>
    <n v="15300"/>
    <s v="Aanya Bhatt"/>
    <s v="Industrial"/>
    <x v="8"/>
    <s v="Baghpat"/>
    <s v="EMI "/>
    <x v="1"/>
  </r>
  <r>
    <s v="ORD1151"/>
    <d v="2025-01-26T00:00:00"/>
    <s v="C151"/>
    <s v="P151"/>
    <n v="4"/>
    <n v="35000"/>
    <n v="140000"/>
    <n v="0.25"/>
    <n v="35000"/>
    <n v="56000"/>
    <n v="161000"/>
    <n v="21000"/>
    <s v="Aarav Malhotra"/>
    <s v="Wholesale"/>
    <x v="8"/>
    <s v="ghaziabad"/>
    <s v="Credit Card"/>
    <x v="1"/>
  </r>
  <r>
    <s v="ORD1152"/>
    <d v="2025-01-26T00:00:00"/>
    <s v="C152"/>
    <s v="P152"/>
    <n v="4"/>
    <n v="36000"/>
    <n v="144000"/>
    <n v="0.1"/>
    <n v="14400"/>
    <n v="57600"/>
    <n v="187200"/>
    <n v="43200"/>
    <s v="Aditi Joshi"/>
    <s v="Wholesale"/>
    <x v="8"/>
    <s v="Delhi"/>
    <s v="Credit Card"/>
    <x v="1"/>
  </r>
  <r>
    <s v="ORD1153"/>
    <d v="2025-01-26T00:00:00"/>
    <s v="C153"/>
    <s v="P153"/>
    <n v="4"/>
    <n v="37000"/>
    <n v="148000"/>
    <n v="0.15"/>
    <n v="22200"/>
    <n v="59200"/>
    <n v="185000"/>
    <n v="37000"/>
    <s v="Arjun Chawla"/>
    <s v="Wholesale"/>
    <x v="8"/>
    <s v="Mumbai"/>
    <s v="EMI "/>
    <x v="1"/>
  </r>
  <r>
    <s v="ORD1154"/>
    <d v="2025-01-26T00:00:00"/>
    <s v="C154"/>
    <s v="P154"/>
    <n v="4"/>
    <n v="38000"/>
    <n v="152000"/>
    <n v="0.1"/>
    <n v="15200"/>
    <n v="60800"/>
    <n v="197600"/>
    <n v="45600"/>
    <s v="Ananya Goyal"/>
    <s v="Wholesale"/>
    <x v="8"/>
    <s v="Meerut"/>
    <s v="EMI "/>
    <x v="1"/>
  </r>
  <r>
    <s v="ORD1155"/>
    <d v="2025-01-26T00:00:00"/>
    <s v="C155"/>
    <s v="P155"/>
    <n v="4"/>
    <n v="39000"/>
    <n v="156000"/>
    <n v="0.13"/>
    <n v="20280"/>
    <n v="62400"/>
    <n v="198120"/>
    <n v="42120"/>
    <s v="Aditya Pillai"/>
    <s v="Wholesale"/>
    <x v="8"/>
    <s v="Gurugram"/>
    <s v="EMI "/>
    <x v="1"/>
  </r>
  <r>
    <s v="ORD1156"/>
    <d v="2025-01-26T00:00:00"/>
    <s v="C156"/>
    <s v="P156"/>
    <n v="4"/>
    <n v="40000"/>
    <n v="160000"/>
    <n v="0.14000000000000001"/>
    <n v="22400.000000000004"/>
    <n v="64000"/>
    <n v="201600"/>
    <n v="41600"/>
    <s v="Ishita Dagar"/>
    <s v="Wholesale"/>
    <x v="8"/>
    <s v="Rohtak"/>
    <s v="Buy Now Pay later"/>
    <x v="1"/>
  </r>
  <r>
    <s v="ORD1157"/>
    <d v="2025-01-26T00:00:00"/>
    <s v="C157"/>
    <s v="P157"/>
    <n v="5"/>
    <n v="41000"/>
    <n v="205000"/>
    <n v="0.16"/>
    <n v="32800"/>
    <n v="82000"/>
    <n v="254200"/>
    <n v="49200"/>
    <s v="Kabir Bhatt"/>
    <s v="Wholesale"/>
    <x v="8"/>
    <s v="Srinagar"/>
    <s v="EMI "/>
    <x v="1"/>
  </r>
  <r>
    <s v="ORD1158"/>
    <d v="2025-01-26T00:00:00"/>
    <s v="C158"/>
    <s v="P158"/>
    <n v="5"/>
    <n v="42000"/>
    <n v="210000"/>
    <n v="0.12"/>
    <n v="25200"/>
    <n v="84000"/>
    <n v="268800"/>
    <n v="58800"/>
    <s v="Meera Kapoor"/>
    <s v="Wholesale"/>
    <x v="8"/>
    <s v="Srinagar"/>
    <s v="EMI "/>
    <x v="1"/>
  </r>
  <r>
    <s v="ORD1159"/>
    <d v="2025-01-26T00:00:00"/>
    <s v="C159"/>
    <s v="P159"/>
    <n v="5"/>
    <n v="43000"/>
    <n v="215000"/>
    <n v="0.11"/>
    <n v="23650"/>
    <n v="86000"/>
    <n v="277350"/>
    <n v="62350"/>
    <s v="Rohan Nair"/>
    <s v="Wholesale"/>
    <x v="8"/>
    <s v="Vizag"/>
    <s v="Credit Card"/>
    <x v="1"/>
  </r>
  <r>
    <s v="ORD1160"/>
    <d v="2025-01-26T00:00:00"/>
    <s v="C160"/>
    <s v="P160"/>
    <n v="5"/>
    <n v="44000"/>
    <n v="220000"/>
    <n v="0.4"/>
    <n v="88000"/>
    <n v="88000"/>
    <n v="220000"/>
    <n v="0"/>
    <s v="Priya Rao"/>
    <s v="Wholesale"/>
    <x v="8"/>
    <s v="Faridabad"/>
    <s v="EMI "/>
    <x v="1"/>
  </r>
  <r>
    <s v="ORD1161"/>
    <d v="2025-01-26T00:00:00"/>
    <s v="C161"/>
    <s v="P161"/>
    <n v="5"/>
    <n v="45000"/>
    <n v="225000"/>
    <n v="0.4"/>
    <n v="90000"/>
    <n v="90000"/>
    <n v="225000"/>
    <n v="0"/>
    <s v="Rahul Bhatia"/>
    <s v="Wholesale"/>
    <x v="8"/>
    <s v="Chandigarh"/>
    <s v="Credit Card"/>
    <x v="1"/>
  </r>
  <r>
    <s v="ORD1162"/>
    <d v="2025-01-26T00:00:00"/>
    <s v="C162"/>
    <s v="P162"/>
    <n v="5"/>
    <n v="46000"/>
    <n v="230000"/>
    <n v="0.4"/>
    <n v="92000"/>
    <n v="92000"/>
    <n v="230000"/>
    <n v="0"/>
    <s v="Sneha Menon"/>
    <s v="Wholesale"/>
    <x v="19"/>
    <s v="Kannauj"/>
    <s v="EMI "/>
    <x v="1"/>
  </r>
  <r>
    <s v="ORD1163"/>
    <d v="2025-01-26T00:00:00"/>
    <s v="C163"/>
    <s v="P163"/>
    <n v="5"/>
    <n v="47000"/>
    <n v="235000"/>
    <n v="0.2"/>
    <n v="47000"/>
    <n v="94000"/>
    <n v="282000"/>
    <n v="47000"/>
    <s v="Vihaan Shukla"/>
    <s v="Wholesale"/>
    <x v="19"/>
    <s v="Faridabad"/>
    <s v="EMI "/>
    <x v="1"/>
  </r>
  <r>
    <s v="ORD1164"/>
    <d v="2025-01-27T00:00:00"/>
    <s v="C164"/>
    <s v="P164"/>
    <n v="5"/>
    <n v="48000"/>
    <n v="240000"/>
    <n v="4.4999999999999998E-2"/>
    <n v="10800"/>
    <n v="96000"/>
    <n v="325200"/>
    <n v="85200"/>
    <s v="Diya Ahuja"/>
    <s v="Wholesale"/>
    <x v="19"/>
    <s v="Chandigarh"/>
    <s v="EMI "/>
    <x v="1"/>
  </r>
  <r>
    <s v="ORD1165"/>
    <d v="2025-01-27T00:00:00"/>
    <s v="C165"/>
    <s v="P165"/>
    <n v="5"/>
    <n v="49000"/>
    <n v="245000"/>
    <n v="5.5E-2"/>
    <n v="13475"/>
    <n v="98000"/>
    <n v="329525"/>
    <n v="84525"/>
    <s v="Karan Singh"/>
    <s v="Wholesale"/>
    <x v="19"/>
    <s v="Gorakhpur"/>
    <s v="EMI "/>
    <x v="1"/>
  </r>
  <r>
    <s v="ORD1166"/>
    <d v="2025-01-27T00:00:00"/>
    <s v="C166"/>
    <s v="P166"/>
    <n v="5"/>
    <n v="50000"/>
    <n v="250000"/>
    <n v="0.4"/>
    <n v="100000"/>
    <n v="100000"/>
    <n v="250000"/>
    <n v="0"/>
    <s v="Neha Reddy"/>
    <s v="Wholesale"/>
    <x v="3"/>
    <s v="Bareilly"/>
    <s v="EMI "/>
    <x v="1"/>
  </r>
  <r>
    <s v="ORD1167"/>
    <d v="2025-01-27T00:00:00"/>
    <s v="C167"/>
    <s v="P167"/>
    <n v="5"/>
    <n v="51000"/>
    <n v="255000"/>
    <n v="0.1"/>
    <n v="25500"/>
    <n v="102000"/>
    <n v="331500"/>
    <n v="76500"/>
    <s v="Aryan Das"/>
    <s v="Wholesale"/>
    <x v="3"/>
    <s v="Kolkata"/>
    <s v="EMI "/>
    <x v="1"/>
  </r>
  <r>
    <s v="ORD1168"/>
    <d v="2025-01-27T00:00:00"/>
    <s v="C168"/>
    <s v="P168"/>
    <n v="6"/>
    <n v="52000"/>
    <n v="312000"/>
    <n v="0.1"/>
    <n v="31200"/>
    <n v="124800"/>
    <n v="405600"/>
    <n v="93600"/>
    <s v="Kavya Arora"/>
    <s v="Wholesale"/>
    <x v="3"/>
    <s v="Gurugram"/>
    <s v="EMI "/>
    <x v="1"/>
  </r>
  <r>
    <s v="ORD1169"/>
    <d v="2025-01-27T00:00:00"/>
    <s v="C169"/>
    <s v="P169"/>
    <n v="6"/>
    <n v="53000"/>
    <n v="318000"/>
    <n v="0.13"/>
    <n v="41340"/>
    <n v="127200"/>
    <n v="403860"/>
    <n v="85860"/>
    <s v="Yash Desai"/>
    <s v="Wholesale"/>
    <x v="3"/>
    <s v="Gorakhpur"/>
    <s v="EMI "/>
    <x v="1"/>
  </r>
  <r>
    <s v="ORD1170"/>
    <d v="2025-01-27T00:00:00"/>
    <s v="C170"/>
    <s v="P170"/>
    <n v="7"/>
    <n v="54000"/>
    <n v="378000"/>
    <n v="0.08"/>
    <n v="30240"/>
    <n v="151200"/>
    <n v="498960"/>
    <n v="120960"/>
    <s v="Riya Thakur"/>
    <s v="Wholesale"/>
    <x v="3"/>
    <s v="Lucknow"/>
    <s v="EMI "/>
    <x v="1"/>
  </r>
  <r>
    <s v="ORD1171"/>
    <d v="2025-01-27T00:00:00"/>
    <s v="C171"/>
    <s v="P171"/>
    <n v="6"/>
    <n v="55000"/>
    <n v="330000"/>
    <n v="0.04"/>
    <n v="13200"/>
    <n v="132000"/>
    <n v="448800"/>
    <n v="118800"/>
    <s v="Dev Kohli"/>
    <s v="Wholesale"/>
    <x v="12"/>
    <s v="Faridabad"/>
    <s v="EMI "/>
    <x v="1"/>
  </r>
  <r>
    <s v="ORD1172"/>
    <d v="2025-01-27T00:00:00"/>
    <s v="C172"/>
    <s v="P172"/>
    <n v="5"/>
    <n v="56000"/>
    <n v="280000"/>
    <n v="0.05"/>
    <n v="14000"/>
    <n v="112000"/>
    <n v="378000"/>
    <n v="98000"/>
    <s v="Nishant Nagar"/>
    <s v="Wholesale"/>
    <x v="10"/>
    <s v="Baghpat"/>
    <s v="EMI "/>
    <x v="1"/>
  </r>
  <r>
    <s v="ORD1173"/>
    <d v="2025-01-27T00:00:00"/>
    <s v="C173"/>
    <s v="P173"/>
    <n v="4"/>
    <n v="57000"/>
    <n v="228000"/>
    <n v="0.1"/>
    <n v="22800"/>
    <n v="91200"/>
    <n v="296400"/>
    <n v="68400"/>
    <s v="Siddharth Patel"/>
    <s v="Wholesale"/>
    <x v="3"/>
    <s v="Surat"/>
    <s v="EMI "/>
    <x v="1"/>
  </r>
  <r>
    <s v="ORD1174"/>
    <d v="2025-01-27T00:00:00"/>
    <s v="C174"/>
    <s v="P174"/>
    <n v="3"/>
    <n v="58000"/>
    <n v="174000"/>
    <n v="0.12"/>
    <n v="20880"/>
    <n v="69600"/>
    <n v="222720"/>
    <n v="48720"/>
    <s v="Pooja Khanna"/>
    <s v="Wholesale"/>
    <x v="19"/>
    <s v="Delhi"/>
    <s v="EMI "/>
    <x v="1"/>
  </r>
  <r>
    <s v="ORD1175"/>
    <d v="2025-01-28T00:00:00"/>
    <s v="C175"/>
    <s v="P175"/>
    <n v="2"/>
    <n v="59000"/>
    <n v="118000"/>
    <n v="0.13"/>
    <n v="15340"/>
    <n v="47200"/>
    <n v="149860"/>
    <n v="31860"/>
    <s v="Varun Khanna"/>
    <s v="Wholesale"/>
    <x v="19"/>
    <s v="Delhi"/>
    <s v="EMI "/>
    <x v="1"/>
  </r>
  <r>
    <s v="ORD1176"/>
    <d v="2025-01-28T00:00:00"/>
    <s v="C176"/>
    <s v="P176"/>
    <n v="1"/>
    <n v="60000"/>
    <n v="60000"/>
    <n v="0.15"/>
    <n v="9000"/>
    <n v="24000"/>
    <n v="75000"/>
    <n v="15000"/>
    <s v="Simran Kulkarni"/>
    <s v="Large"/>
    <x v="3"/>
    <s v="Nashik"/>
    <s v="EMI "/>
    <x v="1"/>
  </r>
  <r>
    <s v="ORD1177"/>
    <d v="2025-01-28T00:00:00"/>
    <s v="C177"/>
    <s v="P177"/>
    <n v="2"/>
    <n v="61000"/>
    <n v="122000"/>
    <n v="0.2"/>
    <n v="24400"/>
    <n v="48800"/>
    <n v="146400"/>
    <n v="24400"/>
    <s v="Aniket Yadav"/>
    <s v="Wholesale"/>
    <x v="8"/>
    <s v="Vadodra"/>
    <s v="EMI "/>
    <x v="1"/>
  </r>
  <r>
    <s v="ORD1178"/>
    <d v="2025-01-28T00:00:00"/>
    <s v="C178"/>
    <s v="P178"/>
    <n v="1"/>
    <n v="62000"/>
    <n v="62000"/>
    <n v="0.2"/>
    <n v="12400"/>
    <n v="24800"/>
    <n v="74400"/>
    <n v="12400"/>
    <s v="Tanvi Mathur"/>
    <s v="Large"/>
    <x v="10"/>
    <s v="Nangloi"/>
    <s v="EMI "/>
    <x v="1"/>
  </r>
  <r>
    <s v="ORD1179"/>
    <d v="2025-01-28T00:00:00"/>
    <s v="C179"/>
    <s v="P179"/>
    <n v="1"/>
    <n v="63000"/>
    <n v="63000"/>
    <n v="0.1"/>
    <n v="6300"/>
    <n v="25200"/>
    <n v="81900"/>
    <n v="18900"/>
    <s v="Manav Gupta"/>
    <s v="Large"/>
    <x v="8"/>
    <s v="Delhi"/>
    <s v="EMI "/>
    <x v="1"/>
  </r>
  <r>
    <s v="ORD1180"/>
    <d v="2025-01-28T00:00:00"/>
    <s v="C180"/>
    <s v="P180"/>
    <n v="1"/>
    <n v="64000"/>
    <n v="64000"/>
    <n v="0.1"/>
    <n v="6400"/>
    <n v="25600"/>
    <n v="83200"/>
    <n v="19200"/>
    <s v="Shreya Iyer"/>
    <s v="Large"/>
    <x v="8"/>
    <s v="Vizag"/>
    <s v="EMI "/>
    <x v="1"/>
  </r>
  <r>
    <s v="ORD1181"/>
    <d v="2025-01-28T00:00:00"/>
    <s v="C181"/>
    <s v="P181"/>
    <n v="1"/>
    <n v="65000"/>
    <n v="65000"/>
    <n v="0.15"/>
    <n v="9750"/>
    <n v="26000"/>
    <n v="81250"/>
    <n v="16250"/>
    <s v="Vivaan Mishra"/>
    <s v="Large"/>
    <x v="8"/>
    <s v="Kannauj"/>
    <s v="EMI "/>
    <x v="1"/>
  </r>
  <r>
    <s v="ORD1182"/>
    <d v="2025-01-28T00:00:00"/>
    <s v="C182"/>
    <s v="P182"/>
    <n v="1"/>
    <n v="66000"/>
    <n v="66000"/>
    <n v="0.25"/>
    <n v="16500"/>
    <n v="26400"/>
    <n v="75900"/>
    <n v="9900"/>
    <s v="Avni Pandey"/>
    <s v="Large"/>
    <x v="8"/>
    <s v="Varanasi"/>
    <s v="Credit Card"/>
    <x v="1"/>
  </r>
  <r>
    <s v="ORD1183"/>
    <d v="2025-01-28T00:00:00"/>
    <s v="C183"/>
    <s v="P183"/>
    <n v="1"/>
    <n v="67000"/>
    <n v="67000"/>
    <n v="0.1"/>
    <n v="6700"/>
    <n v="26800"/>
    <n v="87100"/>
    <n v="20100"/>
    <s v="Reyansh Srivastava"/>
    <s v="Large"/>
    <x v="8"/>
    <s v="Ayodhya"/>
    <s v="Credit Card"/>
    <x v="1"/>
  </r>
  <r>
    <s v="ORD1184"/>
    <d v="2025-01-29T00:00:00"/>
    <s v="C184"/>
    <s v="P184"/>
    <n v="1"/>
    <n v="68000"/>
    <n v="68000"/>
    <n v="0.1"/>
    <n v="6800"/>
    <n v="27200"/>
    <n v="88400"/>
    <n v="20400"/>
    <s v="Myra Dutta"/>
    <s v="Large"/>
    <x v="8"/>
    <s v="Gorakhpur"/>
    <s v="Credit Card"/>
    <x v="1"/>
  </r>
  <r>
    <s v="ORD1185"/>
    <d v="2025-01-29T00:00:00"/>
    <s v="C185"/>
    <s v="P185"/>
    <n v="1"/>
    <n v="69000"/>
    <n v="69000"/>
    <n v="0.05"/>
    <n v="3450"/>
    <n v="27600"/>
    <n v="93150"/>
    <n v="24150"/>
    <s v="Krish Sood"/>
    <s v="Large"/>
    <x v="8"/>
    <s v="Amritsar"/>
    <s v="Credit Card"/>
    <x v="1"/>
  </r>
  <r>
    <s v="ORD1186"/>
    <d v="2025-01-29T00:00:00"/>
    <s v="C186"/>
    <s v="P186"/>
    <n v="1"/>
    <n v="70000"/>
    <n v="70000"/>
    <n v="0.1"/>
    <n v="7000"/>
    <n v="28000"/>
    <n v="91000"/>
    <n v="21000"/>
    <s v="Kiara Verma"/>
    <s v="Large"/>
    <x v="13"/>
    <s v="Panipat"/>
    <s v="EMI "/>
    <x v="1"/>
  </r>
  <r>
    <s v="ORD1187"/>
    <d v="2025-01-29T00:00:00"/>
    <s v="C187"/>
    <s v="P187"/>
    <n v="1"/>
    <n v="71000"/>
    <n v="71000"/>
    <n v="0.05"/>
    <n v="3550"/>
    <n v="28400"/>
    <n v="95850"/>
    <n v="24850"/>
    <s v="Atharv Agarwal"/>
    <s v="Large"/>
    <x v="12"/>
    <s v="Sonipat"/>
    <s v="EMI "/>
    <x v="1"/>
  </r>
  <r>
    <s v="ORD1188"/>
    <d v="2025-01-29T00:00:00"/>
    <s v="C188"/>
    <s v="P188"/>
    <n v="1"/>
    <n v="72000"/>
    <n v="72000"/>
    <n v="0.12"/>
    <n v="8640"/>
    <n v="28800"/>
    <n v="92160"/>
    <n v="20160"/>
    <s v="Anika Saxena"/>
    <s v="Large"/>
    <x v="3"/>
    <s v="Gurugram"/>
    <s v="EMI "/>
    <x v="1"/>
  </r>
  <r>
    <s v="ORD1189"/>
    <d v="2025-01-29T00:00:00"/>
    <s v="C189"/>
    <s v="P189"/>
    <n v="1"/>
    <n v="73000"/>
    <n v="73000"/>
    <n v="0.15"/>
    <n v="10950"/>
    <n v="29200"/>
    <n v="91250"/>
    <n v="18250"/>
    <s v="Dhruv Tiwari"/>
    <s v="Large"/>
    <x v="3"/>
    <s v="Baghpat"/>
    <s v="EMI "/>
    <x v="1"/>
  </r>
  <r>
    <s v="ORD1190"/>
    <d v="2025-01-29T00:00:00"/>
    <s v="C190"/>
    <s v="P190"/>
    <n v="1"/>
    <n v="74000"/>
    <n v="74000"/>
    <n v="0.12"/>
    <n v="8880"/>
    <n v="29600"/>
    <n v="94720"/>
    <n v="20720"/>
    <s v="Saanvi Sinha"/>
    <s v="Large"/>
    <x v="3"/>
    <s v="Kanpur"/>
    <s v="EMI "/>
    <x v="1"/>
  </r>
  <r>
    <s v="ORD1191"/>
    <d v="2025-01-30T00:00:00"/>
    <s v="C191"/>
    <s v="P191"/>
    <n v="1"/>
    <n v="75000"/>
    <n v="75000"/>
    <n v="0.15"/>
    <n v="11250"/>
    <n v="30000"/>
    <n v="93750"/>
    <n v="18750"/>
    <s v="Rudra Banerjee"/>
    <s v="Large"/>
    <x v="3"/>
    <s v="Kolkata"/>
    <s v="EMI "/>
    <x v="1"/>
  </r>
  <r>
    <s v="ORD1192"/>
    <d v="2025-01-30T00:00:00"/>
    <s v="C192"/>
    <s v="P192"/>
    <n v="1"/>
    <n v="76000"/>
    <n v="76000"/>
    <n v="0.15"/>
    <n v="11400"/>
    <n v="30400"/>
    <n v="95000"/>
    <n v="19000"/>
    <s v="Navya Vohra"/>
    <s v="Large"/>
    <x v="3"/>
    <s v="Hampi"/>
    <s v="EMI "/>
    <x v="1"/>
  </r>
  <r>
    <s v="ORD1193"/>
    <d v="2025-01-30T00:00:00"/>
    <s v="C193"/>
    <s v="P193"/>
    <n v="1"/>
    <n v="77000"/>
    <n v="77000"/>
    <n v="0.156"/>
    <n v="12012"/>
    <n v="30800"/>
    <n v="95788"/>
    <n v="18788"/>
    <s v="Ayush Sharma"/>
    <s v="Large"/>
    <x v="3"/>
    <s v="Gurugram"/>
    <s v="EMI "/>
    <x v="1"/>
  </r>
  <r>
    <s v="ORD1194"/>
    <d v="2025-01-30T00:00:00"/>
    <s v="C194"/>
    <s v="P194"/>
    <n v="1"/>
    <n v="78000"/>
    <n v="78000"/>
    <n v="0.16200000000000001"/>
    <n v="12636"/>
    <n v="31200"/>
    <n v="96564"/>
    <n v="18564"/>
    <s v="Tanya Bansal"/>
    <s v="Large"/>
    <x v="3"/>
    <s v="Noida"/>
    <s v="EMI "/>
    <x v="1"/>
  </r>
  <r>
    <s v="ORD1195"/>
    <d v="2025-01-30T00:00:00"/>
    <s v="C195"/>
    <s v="P195"/>
    <n v="1"/>
    <n v="79000"/>
    <n v="79000"/>
    <n v="0.16800000000000001"/>
    <n v="13272"/>
    <n v="31600"/>
    <n v="97328"/>
    <n v="18328"/>
    <s v="Arnav Chopra"/>
    <s v="Large"/>
    <x v="3"/>
    <s v="Delhi"/>
    <s v="EMI "/>
    <x v="1"/>
  </r>
  <r>
    <s v="ORD1196"/>
    <d v="2025-01-30T00:00:00"/>
    <s v="C196"/>
    <s v="P196"/>
    <n v="1"/>
    <n v="80000"/>
    <n v="80000"/>
    <n v="0.17399999999999999"/>
    <n v="13919.999999999998"/>
    <n v="32000"/>
    <n v="98080"/>
    <n v="18080"/>
    <s v="Ira Sethi"/>
    <s v="Large"/>
    <x v="3"/>
    <s v="Noida"/>
    <s v="Credit Card"/>
    <x v="1"/>
  </r>
  <r>
    <s v="ORD1197"/>
    <d v="2025-01-31T00:00:00"/>
    <s v="C197"/>
    <s v="P197"/>
    <n v="1"/>
    <n v="81000"/>
    <n v="81000"/>
    <n v="0.18"/>
    <n v="14580"/>
    <n v="32400"/>
    <n v="98820"/>
    <n v="17820"/>
    <s v="Shaurya Jain"/>
    <s v="Large"/>
    <x v="3"/>
    <s v="Delhi"/>
    <s v="EMI "/>
    <x v="1"/>
  </r>
  <r>
    <s v="ORD1198"/>
    <d v="2025-01-31T00:00:00"/>
    <s v="C198"/>
    <s v="P198"/>
    <n v="1"/>
    <n v="82000"/>
    <n v="82000"/>
    <n v="0.186"/>
    <n v="15252"/>
    <n v="32800"/>
    <n v="99548"/>
    <n v="17548"/>
    <s v="Mahi Mukherjee"/>
    <s v="Large"/>
    <x v="3"/>
    <s v="Gurugram"/>
    <s v="EMI "/>
    <x v="1"/>
  </r>
  <r>
    <s v="ORD1199"/>
    <d v="2025-01-31T00:00:00"/>
    <s v="C199"/>
    <s v="P199"/>
    <n v="1"/>
    <n v="83000"/>
    <n v="83000"/>
    <n v="0.192"/>
    <n v="15936"/>
    <n v="33200"/>
    <n v="100264"/>
    <n v="17264"/>
    <s v="Parth Dubey"/>
    <s v="Industrial"/>
    <x v="3"/>
    <s v="Gurugram"/>
    <s v="EMI "/>
    <x v="1"/>
  </r>
  <r>
    <s v="ORD1200"/>
    <d v="2025-01-31T00:00:00"/>
    <s v="C200"/>
    <s v="P200"/>
    <n v="1"/>
    <n v="84000"/>
    <n v="84000"/>
    <n v="0.01"/>
    <n v="840"/>
    <n v="33600"/>
    <n v="116760"/>
    <n v="32760"/>
    <s v="Aanya Naidu"/>
    <s v="Industrial"/>
    <x v="3"/>
    <s v="Surat"/>
    <s v="EMI "/>
    <x v="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d v="2025-01-12T00:00:00"/>
    <s v="C001"/>
    <s v="P001"/>
    <n v="4"/>
    <n v="899"/>
    <n v="3596"/>
    <n v="0.1"/>
    <n v="359.6"/>
    <n v="1438.4"/>
    <n v="4674.7999999999993"/>
    <n v="1078.7999999999993"/>
    <s v="Aarav Mehta"/>
    <s v="Micro"/>
    <s v="Books &amp; Stationeries"/>
    <s v="Agartala"/>
    <x v="0"/>
    <s v="Delivered"/>
  </r>
  <r>
    <x v="1"/>
    <d v="2025-01-12T00:00:00"/>
    <s v="C002"/>
    <s v="P002"/>
    <n v="5"/>
    <n v="649"/>
    <n v="3245"/>
    <n v="0.02"/>
    <n v="64.900000000000006"/>
    <n v="1298"/>
    <n v="4478.1000000000004"/>
    <n v="1233.1000000000004"/>
    <s v="Aditi Patel"/>
    <s v="Micro"/>
    <s v="Books &amp; Stationeries"/>
    <s v="Agra"/>
    <x v="1"/>
    <s v="Delivered"/>
  </r>
  <r>
    <x v="2"/>
    <d v="2025-01-12T00:00:00"/>
    <s v="C003"/>
    <s v="P003"/>
    <n v="6"/>
    <n v="125"/>
    <n v="750"/>
    <n v="0"/>
    <n v="0"/>
    <n v="300"/>
    <n v="1050"/>
    <n v="300"/>
    <s v="Arjun Khanna"/>
    <s v="Micro"/>
    <s v="Books &amp; Stationeries"/>
    <s v="Ahmedabad"/>
    <x v="2"/>
    <s v="Delivered"/>
  </r>
  <r>
    <x v="3"/>
    <d v="2025-01-12T00:00:00"/>
    <s v="C004"/>
    <s v="P004"/>
    <n v="7"/>
    <n v="199"/>
    <n v="1393"/>
    <n v="0"/>
    <n v="0"/>
    <n v="557.20000000000005"/>
    <n v="1950.2"/>
    <n v="557.20000000000005"/>
    <s v="Ananya Khanna"/>
    <s v="Micro"/>
    <s v="Books &amp; Stationeries"/>
    <s v="Aizawl"/>
    <x v="2"/>
    <s v="Delivered"/>
  </r>
  <r>
    <x v="4"/>
    <d v="2025-01-13T00:00:00"/>
    <s v="C005"/>
    <s v="P005"/>
    <n v="2"/>
    <n v="900"/>
    <n v="1800"/>
    <n v="0.15"/>
    <n v="270"/>
    <n v="720"/>
    <n v="2250"/>
    <n v="450"/>
    <s v="Aditya Kulkarni"/>
    <s v="Micro"/>
    <s v="Cosmetics"/>
    <s v="Ajmer"/>
    <x v="2"/>
    <s v="Delivered"/>
  </r>
  <r>
    <x v="5"/>
    <d v="2025-01-13T00:00:00"/>
    <s v="C006"/>
    <s v="P006"/>
    <n v="3"/>
    <n v="1200"/>
    <n v="3600"/>
    <n v="0.15"/>
    <n v="540"/>
    <n v="1440"/>
    <n v="4500"/>
    <n v="900"/>
    <s v="Ishita Yadav"/>
    <s v="Micro"/>
    <s v="Confectionaries"/>
    <s v="Aligarh "/>
    <x v="2"/>
    <s v="Delivered"/>
  </r>
  <r>
    <x v="6"/>
    <d v="2025-01-13T00:00:00"/>
    <s v="C007"/>
    <s v="P007"/>
    <n v="4"/>
    <n v="800"/>
    <n v="3200"/>
    <n v="0.15"/>
    <n v="480"/>
    <n v="1280"/>
    <n v="4000"/>
    <n v="800"/>
    <s v="Kabir Mathur"/>
    <s v="Micro"/>
    <s v="Electronics"/>
    <s v="Amravati"/>
    <x v="2"/>
    <s v="Delivered"/>
  </r>
  <r>
    <x v="7"/>
    <d v="2025-01-13T00:00:00"/>
    <s v="C008"/>
    <s v="P008"/>
    <n v="5"/>
    <n v="700"/>
    <n v="3500"/>
    <n v="0.15"/>
    <n v="525"/>
    <n v="1400"/>
    <n v="4375"/>
    <n v="875"/>
    <s v="Meera Gupta"/>
    <s v="Micro"/>
    <s v="Books &amp; Stationeries"/>
    <s v="Amritsar"/>
    <x v="2"/>
    <s v="Delivered"/>
  </r>
  <r>
    <x v="8"/>
    <d v="2025-01-14T00:00:00"/>
    <s v="C009"/>
    <s v="P009"/>
    <n v="1"/>
    <n v="600"/>
    <n v="600"/>
    <n v="0.15"/>
    <n v="90"/>
    <n v="240"/>
    <n v="750"/>
    <n v="150"/>
    <s v="Rohan Iyer"/>
    <s v="Micro"/>
    <s v="Books &amp; Stationeries"/>
    <s v="Aurangabad"/>
    <x v="2"/>
    <s v="Delivered"/>
  </r>
  <r>
    <x v="9"/>
    <d v="2025-01-14T00:00:00"/>
    <s v="C010"/>
    <s v="P010"/>
    <n v="3"/>
    <n v="3000"/>
    <n v="9000"/>
    <n v="0.15"/>
    <n v="1350"/>
    <n v="3600"/>
    <n v="11250"/>
    <n v="2250"/>
    <s v="Priya Mishra"/>
    <s v="Medium"/>
    <s v="Toys"/>
    <s v="Bangalore"/>
    <x v="2"/>
    <s v="Delivered"/>
  </r>
  <r>
    <x v="10"/>
    <d v="2025-01-14T00:00:00"/>
    <s v="C011"/>
    <s v="P011"/>
    <n v="5"/>
    <n v="2500"/>
    <n v="12500"/>
    <n v="0.2"/>
    <n v="2500"/>
    <n v="5000"/>
    <n v="15000"/>
    <n v="2500"/>
    <s v="Rahul Pandey"/>
    <s v="Medium"/>
    <s v="Dry Fruits"/>
    <s v="Bareilly"/>
    <x v="0"/>
    <s v="Pending"/>
  </r>
  <r>
    <x v="11"/>
    <d v="2025-01-14T00:00:00"/>
    <s v="C012"/>
    <s v="P012"/>
    <n v="7"/>
    <n v="2300"/>
    <n v="16100"/>
    <n v="0.2"/>
    <n v="3220"/>
    <n v="6440"/>
    <n v="19320"/>
    <n v="3220"/>
    <s v="Sneha Srivastava"/>
    <s v="Medium"/>
    <s v="Home and kitchen"/>
    <s v="Chandigarh"/>
    <x v="0"/>
    <s v="Delivered"/>
  </r>
  <r>
    <x v="12"/>
    <d v="2025-01-14T00:00:00"/>
    <s v="C013"/>
    <s v="P013"/>
    <n v="9"/>
    <n v="2100"/>
    <n v="18900"/>
    <n v="0.2"/>
    <n v="3780"/>
    <n v="7560"/>
    <n v="22680"/>
    <n v="3780"/>
    <s v="Vihaan Dutta"/>
    <s v="Medium"/>
    <s v="Home and kitchen"/>
    <s v="Chennai"/>
    <x v="0"/>
    <s v="Pending"/>
  </r>
  <r>
    <x v="13"/>
    <d v="2025-01-14T00:00:00"/>
    <s v="C014"/>
    <s v="P014"/>
    <n v="11"/>
    <n v="1900"/>
    <n v="20900"/>
    <n v="0.2"/>
    <n v="4180"/>
    <n v="8360"/>
    <n v="25080"/>
    <n v="4180"/>
    <s v="Diya Sood"/>
    <s v="Medium"/>
    <s v="Beverages"/>
    <s v="Coimbatore"/>
    <x v="0"/>
    <s v="Pending"/>
  </r>
  <r>
    <x v="14"/>
    <d v="2025-01-14T00:00:00"/>
    <s v="C015"/>
    <s v="P015"/>
    <n v="13"/>
    <n v="250"/>
    <n v="3250"/>
    <n v="0.2"/>
    <n v="650"/>
    <n v="1300"/>
    <n v="3900"/>
    <n v="650"/>
    <s v="Karan Verma"/>
    <s v="Micro"/>
    <s v="Beverages"/>
    <s v="Dehradun"/>
    <x v="0"/>
    <s v="Delivered"/>
  </r>
  <r>
    <x v="15"/>
    <d v="2025-01-14T00:00:00"/>
    <s v="C016"/>
    <s v="P016"/>
    <n v="15"/>
    <n v="1300"/>
    <n v="19500"/>
    <n v="0.2"/>
    <n v="3900"/>
    <n v="7800"/>
    <n v="23400"/>
    <n v="3900"/>
    <s v="Neha Agarwal"/>
    <s v="Medium"/>
    <s v="Beverages"/>
    <s v="Dharamshala"/>
    <x v="0"/>
    <s v="Pending"/>
  </r>
  <r>
    <x v="16"/>
    <d v="2025-01-14T00:00:00"/>
    <s v="C017"/>
    <s v="P017"/>
    <n v="17"/>
    <n v="3100"/>
    <n v="52700"/>
    <n v="0.2"/>
    <n v="10540"/>
    <n v="21080"/>
    <n v="63240"/>
    <n v="10540"/>
    <s v="Aryan Saxena"/>
    <s v="Large"/>
    <s v="Beverages"/>
    <s v="Faridabad"/>
    <x v="0"/>
    <s v="Delivered"/>
  </r>
  <r>
    <x v="17"/>
    <d v="2025-01-14T00:00:00"/>
    <s v="C018"/>
    <s v="P018"/>
    <n v="19"/>
    <n v="1200"/>
    <n v="22800"/>
    <n v="0.2"/>
    <n v="4560"/>
    <n v="9120"/>
    <n v="27360"/>
    <n v="4560"/>
    <s v="Kavya Tiwari"/>
    <s v="Medium"/>
    <s v="Art and collections"/>
    <s v="Kanpur"/>
    <x v="0"/>
    <s v="Pending"/>
  </r>
  <r>
    <x v="18"/>
    <d v="2025-01-14T00:00:00"/>
    <s v="C019"/>
    <s v="P019"/>
    <n v="21"/>
    <n v="1100"/>
    <n v="23100"/>
    <n v="0.2"/>
    <n v="4620"/>
    <n v="9240"/>
    <n v="27720"/>
    <n v="4620"/>
    <s v="Yash Sinha"/>
    <s v="Medium"/>
    <s v="Apparel"/>
    <s v="Gurugram"/>
    <x v="0"/>
    <s v="Pending"/>
  </r>
  <r>
    <x v="19"/>
    <d v="2025-01-14T00:00:00"/>
    <s v="C020"/>
    <s v="P020"/>
    <n v="5"/>
    <n v="2000"/>
    <n v="10000"/>
    <n v="0.1"/>
    <n v="1000"/>
    <n v="4000"/>
    <n v="13000"/>
    <n v="3000"/>
    <s v="Riya Banerjee"/>
    <s v="Medium"/>
    <s v="Automotive"/>
    <s v="Kolkata"/>
    <x v="0"/>
    <s v="Pending"/>
  </r>
  <r>
    <x v="20"/>
    <d v="2025-01-15T00:00:00"/>
    <s v="C021"/>
    <s v="P021"/>
    <n v="3"/>
    <n v="3000"/>
    <n v="9000"/>
    <n v="0.05"/>
    <n v="450"/>
    <n v="3600"/>
    <n v="12150"/>
    <n v="3150"/>
    <s v="Dev Vohra"/>
    <s v="Medium"/>
    <s v="Hardware"/>
    <s v="Amravati"/>
    <x v="3"/>
    <s v="Delivered"/>
  </r>
  <r>
    <x v="21"/>
    <d v="2025-01-15T00:00:00"/>
    <s v="C022"/>
    <s v="P022"/>
    <n v="2"/>
    <n v="200"/>
    <n v="400"/>
    <n v="0"/>
    <n v="0"/>
    <n v="160"/>
    <n v="560"/>
    <n v="160"/>
    <s v="Nisha Sharma"/>
    <s v="Micro"/>
    <s v="Electronics"/>
    <s v="Rohtak"/>
    <x v="2"/>
    <s v="Delivered"/>
  </r>
  <r>
    <x v="22"/>
    <d v="2025-01-15T00:00:00"/>
    <s v="C023"/>
    <s v="P023"/>
    <n v="1"/>
    <n v="8000"/>
    <n v="8000"/>
    <n v="0.08"/>
    <n v="640"/>
    <n v="3200"/>
    <n v="10560"/>
    <n v="2560"/>
    <s v="Siddharth Bansal"/>
    <s v="Medium"/>
    <s v="Electronics"/>
    <s v="Jind"/>
    <x v="0"/>
    <s v="Pending"/>
  </r>
  <r>
    <x v="23"/>
    <d v="2025-01-15T00:00:00"/>
    <s v="C024"/>
    <s v="P024"/>
    <n v="4"/>
    <n v="1250"/>
    <n v="5000"/>
    <n v="0.02"/>
    <n v="100"/>
    <n v="2000"/>
    <n v="6900"/>
    <n v="1900"/>
    <s v="Pooja Chopra"/>
    <s v="Small"/>
    <s v="Electronics"/>
    <s v="Rohtak"/>
    <x v="2"/>
    <s v="Pending"/>
  </r>
  <r>
    <x v="24"/>
    <d v="2025-01-15T00:00:00"/>
    <s v="C025"/>
    <s v="P025"/>
    <n v="2"/>
    <n v="3000"/>
    <n v="6000"/>
    <n v="0.05"/>
    <n v="300"/>
    <n v="2400"/>
    <n v="8100"/>
    <n v="2100"/>
    <s v="Varun Sethi"/>
    <s v="Small"/>
    <s v="Art and collections"/>
    <s v="Gurugram"/>
    <x v="0"/>
    <s v="Pending"/>
  </r>
  <r>
    <x v="25"/>
    <d v="2025-01-16T00:00:00"/>
    <s v="C026"/>
    <s v="P026"/>
    <n v="4"/>
    <n v="4000"/>
    <n v="16000"/>
    <n v="0.1"/>
    <n v="1600"/>
    <n v="6400"/>
    <n v="20800"/>
    <n v="4800"/>
    <s v="Simran Jain"/>
    <s v="Medium"/>
    <s v="Home and kitchen"/>
    <s v="Faridabad"/>
    <x v="3"/>
    <s v="Pending"/>
  </r>
  <r>
    <x v="26"/>
    <d v="2025-01-17T00:00:00"/>
    <s v="C027"/>
    <s v="P027"/>
    <n v="2"/>
    <n v="5000"/>
    <n v="10000"/>
    <n v="0"/>
    <n v="0"/>
    <n v="4000"/>
    <n v="14000"/>
    <n v="4000"/>
    <s v="Aniket Mukherjee"/>
    <s v="Medium"/>
    <s v="Sports &amp; Fitness"/>
    <s v="Gurugram"/>
    <x v="0"/>
    <s v="Delivered"/>
  </r>
  <r>
    <x v="27"/>
    <d v="2025-01-18T00:00:00"/>
    <s v="C028"/>
    <s v="P028"/>
    <n v="6"/>
    <n v="6000"/>
    <n v="36000"/>
    <n v="0.25"/>
    <n v="9000"/>
    <n v="14400"/>
    <n v="41400"/>
    <n v="5400"/>
    <s v="Tanvi Dubey"/>
    <s v="Large"/>
    <s v="Toys"/>
    <s v="Gurugram"/>
    <x v="4"/>
    <s v="Delivered"/>
  </r>
  <r>
    <x v="28"/>
    <d v="2025-01-19T00:00:00"/>
    <s v="C029"/>
    <s v="P029"/>
    <n v="3"/>
    <n v="12000"/>
    <n v="36000"/>
    <n v="0.1"/>
    <n v="3600"/>
    <n v="14400"/>
    <n v="46800"/>
    <n v="10800"/>
    <s v="Manav Naidu"/>
    <s v="Large"/>
    <s v="Furniture"/>
    <s v="Bangalore"/>
    <x v="3"/>
    <s v="Pending"/>
  </r>
  <r>
    <x v="29"/>
    <d v="2025-01-20T00:00:00"/>
    <s v="C030"/>
    <s v="P030"/>
    <n v="2"/>
    <n v="15000"/>
    <n v="30000"/>
    <n v="0.25"/>
    <n v="7500"/>
    <n v="12000"/>
    <n v="34500"/>
    <n v="4500"/>
    <s v="Shreya Malhotra"/>
    <s v="Large"/>
    <s v="Cosmetics"/>
    <s v="Bangalore"/>
    <x v="4"/>
    <s v="Pending"/>
  </r>
  <r>
    <x v="30"/>
    <d v="2025-01-21T00:00:00"/>
    <s v="C031"/>
    <s v="P031"/>
    <n v="1"/>
    <n v="31000"/>
    <n v="31000"/>
    <n v="0.25"/>
    <n v="7750"/>
    <n v="12400"/>
    <n v="35650"/>
    <n v="4650"/>
    <s v="Vivaan Joshi"/>
    <s v="Large"/>
    <s v="Electronics"/>
    <s v="Delhi"/>
    <x v="4"/>
    <s v="Pending"/>
  </r>
  <r>
    <x v="31"/>
    <d v="2025-01-22T00:00:00"/>
    <s v="C032"/>
    <s v="P032"/>
    <n v="7"/>
    <n v="700"/>
    <n v="4900"/>
    <n v="0.05"/>
    <n v="245"/>
    <n v="1960"/>
    <n v="6615"/>
    <n v="1715"/>
    <s v="Avni Chawla"/>
    <s v="Small"/>
    <s v="Health &amp; Beauty"/>
    <s v="Delhi"/>
    <x v="2"/>
    <s v="Delivered"/>
  </r>
  <r>
    <x v="32"/>
    <d v="2025-01-22T00:00:00"/>
    <s v="C033"/>
    <s v="P033"/>
    <n v="8"/>
    <n v="1000"/>
    <n v="8000"/>
    <n v="0.05"/>
    <n v="400"/>
    <n v="3200"/>
    <n v="10800"/>
    <n v="2800"/>
    <s v="Reyansh Goyal"/>
    <s v="Medium"/>
    <s v="Electronics"/>
    <s v="Delhi"/>
    <x v="0"/>
    <s v="Delivered"/>
  </r>
  <r>
    <x v="33"/>
    <d v="2025-01-22T00:00:00"/>
    <s v="C034"/>
    <s v="P034"/>
    <n v="9"/>
    <n v="900"/>
    <n v="8100"/>
    <n v="0"/>
    <n v="0"/>
    <n v="3240"/>
    <n v="11340"/>
    <n v="3240"/>
    <s v="Myra Pillai"/>
    <s v="Medium"/>
    <s v="Electronics"/>
    <s v="Delhi"/>
    <x v="0"/>
    <s v="Pending"/>
  </r>
  <r>
    <x v="34"/>
    <d v="2025-01-23T00:00:00"/>
    <s v="C035"/>
    <s v="P035"/>
    <n v="10"/>
    <n v="10000"/>
    <n v="100000"/>
    <n v="0.15"/>
    <n v="15000"/>
    <n v="40000"/>
    <n v="125000"/>
    <n v="25000"/>
    <s v="Krish Tripathi"/>
    <s v="Industrial"/>
    <s v="Electronics"/>
    <s v="Delhi"/>
    <x v="0"/>
    <s v="Pending"/>
  </r>
  <r>
    <x v="35"/>
    <d v="2025-01-23T00:00:00"/>
    <s v="C036"/>
    <s v="P036"/>
    <n v="11"/>
    <n v="1200"/>
    <n v="13200"/>
    <n v="0.1"/>
    <n v="1320"/>
    <n v="5280"/>
    <n v="17160"/>
    <n v="3960"/>
    <s v="Kiara Bhatt"/>
    <s v="Medium"/>
    <s v="Hardware"/>
    <s v="Delhi"/>
    <x v="0"/>
    <s v="Pending"/>
  </r>
  <r>
    <x v="36"/>
    <d v="2025-01-23T00:00:00"/>
    <s v="C037"/>
    <s v="P037"/>
    <n v="12"/>
    <n v="2400"/>
    <n v="28800"/>
    <n v="0.12"/>
    <n v="3456"/>
    <n v="11520"/>
    <n v="36864"/>
    <n v="8064"/>
    <s v="Atharv Kapoor"/>
    <s v="Large"/>
    <s v="Hardware"/>
    <s v="Delhi"/>
    <x v="0"/>
    <s v="Delivered"/>
  </r>
  <r>
    <x v="37"/>
    <d v="2025-01-23T00:00:00"/>
    <s v="C038"/>
    <s v="P038"/>
    <n v="13"/>
    <n v="2600"/>
    <n v="33800"/>
    <n v="0.14000000000000001"/>
    <n v="4732"/>
    <n v="13520"/>
    <n v="42588"/>
    <n v="8788"/>
    <s v="Anika Nair"/>
    <s v="Large"/>
    <s v="Electronics"/>
    <s v="Delhi"/>
    <x v="0"/>
    <s v="Delivered"/>
  </r>
  <r>
    <x v="38"/>
    <d v="2025-01-23T00:00:00"/>
    <s v="C039"/>
    <s v="P039"/>
    <n v="14"/>
    <n v="2800"/>
    <n v="39200"/>
    <n v="0.16"/>
    <n v="6272"/>
    <n v="15680"/>
    <n v="48608"/>
    <n v="9408"/>
    <s v="Dhruv Rao"/>
    <s v="Large"/>
    <s v="Drinkware"/>
    <s v="Delhi"/>
    <x v="0"/>
    <s v="Delivered"/>
  </r>
  <r>
    <x v="39"/>
    <d v="2025-01-23T00:00:00"/>
    <s v="C040"/>
    <s v="P040"/>
    <n v="11"/>
    <n v="1175"/>
    <n v="12925"/>
    <n v="0.1"/>
    <n v="1292.5"/>
    <n v="5170"/>
    <n v="16802.5"/>
    <n v="3877.5"/>
    <s v="Saanvi Bhatia"/>
    <s v="Medium"/>
    <s v="Beverages"/>
    <s v="Delhi"/>
    <x v="0"/>
    <s v="Delivered"/>
  </r>
  <r>
    <x v="40"/>
    <d v="2025-01-24T00:00:00"/>
    <s v="C041"/>
    <s v="P041"/>
    <n v="1"/>
    <n v="45000"/>
    <n v="45000"/>
    <n v="0.25"/>
    <n v="11250"/>
    <n v="18000"/>
    <n v="51750"/>
    <n v="6750"/>
    <s v="Rudra Menon"/>
    <s v="Large"/>
    <s v="Furniture"/>
    <s v="Delhi"/>
    <x v="0"/>
    <s v="Delivered"/>
  </r>
  <r>
    <x v="41"/>
    <d v="2025-01-24T00:00:00"/>
    <s v="C042"/>
    <s v="P042"/>
    <n v="2"/>
    <n v="70000"/>
    <n v="140000"/>
    <n v="0.25"/>
    <n v="35000"/>
    <n v="56000"/>
    <n v="161000"/>
    <n v="21000"/>
    <s v="Navya Shukla"/>
    <s v="Wholesale"/>
    <s v="Home and kitchen"/>
    <s v="Gurugram"/>
    <x v="4"/>
    <s v="Delivered"/>
  </r>
  <r>
    <x v="42"/>
    <d v="2025-01-24T00:00:00"/>
    <s v="C043"/>
    <s v="P043"/>
    <n v="3"/>
    <n v="13000"/>
    <n v="39000"/>
    <n v="0.1"/>
    <n v="3900"/>
    <n v="15600"/>
    <n v="50700"/>
    <n v="11700"/>
    <s v="Ayush Ahuja"/>
    <s v="Large"/>
    <s v="Home and kitchen"/>
    <s v="Gurugram"/>
    <x v="5"/>
    <s v="Delivered"/>
  </r>
  <r>
    <x v="43"/>
    <d v="2025-01-24T00:00:00"/>
    <s v="C044"/>
    <s v="P044"/>
    <n v="14"/>
    <n v="14000"/>
    <n v="196000"/>
    <n v="0.15"/>
    <n v="29400"/>
    <n v="78400"/>
    <n v="245000"/>
    <n v="49000"/>
    <s v="Tanya Singh"/>
    <s v="Wholesale"/>
    <s v="Electronics"/>
    <s v="Gurugram"/>
    <x v="0"/>
    <s v="Delivered"/>
  </r>
  <r>
    <x v="44"/>
    <d v="2025-01-24T00:00:00"/>
    <s v="C045"/>
    <s v="P045"/>
    <n v="10"/>
    <n v="25000"/>
    <n v="250000"/>
    <n v="0.2"/>
    <n v="50000"/>
    <n v="100000"/>
    <n v="300000"/>
    <n v="50000"/>
    <s v="Arnav Reddy"/>
    <s v="Wholesale"/>
    <s v="Electronics"/>
    <s v="Gurugram"/>
    <x v="0"/>
    <s v="Delivered"/>
  </r>
  <r>
    <x v="45"/>
    <d v="2025-01-24T00:00:00"/>
    <s v="C046"/>
    <s v="P046"/>
    <n v="9"/>
    <n v="1500"/>
    <n v="13500"/>
    <n v="0"/>
    <n v="0"/>
    <n v="5400"/>
    <n v="18900"/>
    <n v="5400"/>
    <s v="Ira Das"/>
    <s v="Medium"/>
    <s v="Electronics"/>
    <s v="Gurugram"/>
    <x v="2"/>
    <s v="Delivered"/>
  </r>
  <r>
    <x v="46"/>
    <d v="2025-01-24T00:00:00"/>
    <s v="C047"/>
    <s v="P047"/>
    <n v="8"/>
    <n v="1000"/>
    <n v="8000"/>
    <n v="0"/>
    <n v="0"/>
    <n v="3200"/>
    <n v="11200"/>
    <n v="3200"/>
    <s v="Shaurya Arora"/>
    <s v="Medium"/>
    <s v="Electronics"/>
    <s v="Gurugram"/>
    <x v="2"/>
    <s v="Delivered"/>
  </r>
  <r>
    <x v="47"/>
    <d v="2025-01-24T00:00:00"/>
    <s v="C048"/>
    <s v="P048"/>
    <n v="7"/>
    <n v="1350"/>
    <n v="9450"/>
    <n v="0"/>
    <n v="0"/>
    <n v="3780"/>
    <n v="13230"/>
    <n v="3780"/>
    <s v="Mahi Desai"/>
    <s v="Medium"/>
    <s v="Toys"/>
    <s v="Gurugram"/>
    <x v="2"/>
    <s v="Delivered"/>
  </r>
  <r>
    <x v="48"/>
    <d v="2025-01-24T00:00:00"/>
    <s v="C049"/>
    <s v="P049"/>
    <n v="5"/>
    <n v="2500"/>
    <n v="12500"/>
    <n v="0"/>
    <n v="0"/>
    <n v="5000"/>
    <n v="17500"/>
    <n v="5000"/>
    <s v="Parth Thakur"/>
    <s v="Medium"/>
    <s v="Books &amp; Stationeries"/>
    <s v="Gurugram"/>
    <x v="2"/>
    <s v="Delivered"/>
  </r>
  <r>
    <x v="49"/>
    <d v="2025-01-24T00:00:00"/>
    <s v="C050"/>
    <s v="P050"/>
    <n v="4"/>
    <n v="4000"/>
    <n v="16000"/>
    <n v="0"/>
    <n v="0"/>
    <n v="6400"/>
    <n v="22400"/>
    <n v="6400"/>
    <s v="Aanya Kohli"/>
    <s v="Medium"/>
    <s v="Sports &amp; Fitness"/>
    <s v="Gurugram"/>
    <x v="2"/>
    <s v="Delivered"/>
  </r>
  <r>
    <x v="50"/>
    <d v="2025-01-24T00:00:00"/>
    <s v="C051"/>
    <s v="P051"/>
    <n v="3"/>
    <n v="3000"/>
    <n v="9000"/>
    <n v="0.05"/>
    <n v="450"/>
    <n v="3600"/>
    <n v="12150"/>
    <n v="3150"/>
    <s v="Aarav Singh"/>
    <s v="Medium"/>
    <s v="Home and kitchen"/>
    <s v="Gurugram"/>
    <x v="0"/>
    <s v="Delivered"/>
  </r>
  <r>
    <x v="51"/>
    <d v="2025-01-24T00:00:00"/>
    <s v="C052"/>
    <s v="P052"/>
    <n v="2"/>
    <n v="30000"/>
    <n v="60000"/>
    <n v="0.1"/>
    <n v="6000"/>
    <n v="24000"/>
    <n v="78000"/>
    <n v="18000"/>
    <s v="Aditi Reddy"/>
    <s v="Large"/>
    <s v="Electronics"/>
    <s v="Gurugram"/>
    <x v="0"/>
    <s v="Pending"/>
  </r>
  <r>
    <x v="52"/>
    <d v="2025-01-24T00:00:00"/>
    <s v="C053"/>
    <s v="P053"/>
    <n v="1"/>
    <n v="15000"/>
    <n v="15000"/>
    <n v="7.0000000000000007E-2"/>
    <n v="1050"/>
    <n v="6000"/>
    <n v="19950"/>
    <n v="4950"/>
    <s v="Arjun Das"/>
    <s v="Medium"/>
    <s v="Electronics"/>
    <s v="Gurugram"/>
    <x v="4"/>
    <s v="Pending"/>
  </r>
  <r>
    <x v="53"/>
    <d v="2025-01-24T00:00:00"/>
    <s v="C054"/>
    <s v="P054"/>
    <n v="11"/>
    <n v="800"/>
    <n v="8800"/>
    <n v="0.05"/>
    <n v="440"/>
    <n v="3520"/>
    <n v="11880"/>
    <n v="3080"/>
    <s v="Ananya Arora"/>
    <s v="Medium"/>
    <s v="Electronics"/>
    <s v="Gurugram"/>
    <x v="0"/>
    <s v="Delivered"/>
  </r>
  <r>
    <x v="54"/>
    <d v="2025-01-24T00:00:00"/>
    <s v="C055"/>
    <s v="P055"/>
    <n v="12"/>
    <n v="1000"/>
    <n v="12000"/>
    <n v="0.1"/>
    <n v="1200"/>
    <n v="4800"/>
    <n v="15600"/>
    <n v="3600"/>
    <s v="Aditya Desai"/>
    <s v="Medium"/>
    <s v="Electronics"/>
    <s v="Gurugram"/>
    <x v="0"/>
    <s v="Delivered"/>
  </r>
  <r>
    <x v="55"/>
    <d v="2025-01-24T00:00:00"/>
    <s v="C056"/>
    <s v="P056"/>
    <n v="12"/>
    <n v="1200"/>
    <n v="14400"/>
    <n v="7.0000000000000007E-2"/>
    <n v="1008.0000000000001"/>
    <n v="5760"/>
    <n v="19152"/>
    <n v="4752"/>
    <s v="Ishita Thakur"/>
    <s v="Medium"/>
    <s v="Electronics"/>
    <s v="Gurugram"/>
    <x v="4"/>
    <s v="Delivered"/>
  </r>
  <r>
    <x v="56"/>
    <d v="2025-01-24T00:00:00"/>
    <s v="C057"/>
    <s v="P057"/>
    <n v="13"/>
    <n v="3600"/>
    <n v="46800"/>
    <n v="0.25"/>
    <n v="11700"/>
    <n v="18720"/>
    <n v="53820"/>
    <n v="7020"/>
    <s v="Kabir Kohli"/>
    <s v="Large"/>
    <s v="Electronics"/>
    <s v="Gurugram"/>
    <x v="0"/>
    <s v="Pending"/>
  </r>
  <r>
    <x v="57"/>
    <d v="2025-01-24T00:00:00"/>
    <s v="C058"/>
    <s v="P058"/>
    <n v="14"/>
    <n v="4500"/>
    <n v="63000"/>
    <n v="0.05"/>
    <n v="3150"/>
    <n v="25200"/>
    <n v="85050"/>
    <n v="22050"/>
    <s v="Meera Mehta"/>
    <s v="Large"/>
    <s v="Hardware"/>
    <s v="Gurugram"/>
    <x v="5"/>
    <s v="Pending"/>
  </r>
  <r>
    <x v="58"/>
    <d v="2025-01-24T00:00:00"/>
    <s v="C059"/>
    <s v="P059"/>
    <n v="15"/>
    <n v="2500"/>
    <n v="37500"/>
    <n v="0.12"/>
    <n v="4500"/>
    <n v="15000"/>
    <n v="48000"/>
    <n v="10500"/>
    <s v="Rohan Patel"/>
    <s v="Large"/>
    <s v="Pet Supplies"/>
    <s v="Gurugram"/>
    <x v="3"/>
    <s v="Delivered"/>
  </r>
  <r>
    <x v="59"/>
    <d v="2025-01-24T00:00:00"/>
    <s v="C060"/>
    <s v="P060"/>
    <n v="16"/>
    <n v="1525"/>
    <n v="24400"/>
    <n v="0.15"/>
    <n v="3660"/>
    <n v="9760"/>
    <n v="30500"/>
    <n v="6100"/>
    <s v="Priya Khan"/>
    <s v="Large"/>
    <s v="Beverages"/>
    <s v="Gurugram"/>
    <x v="3"/>
    <s v="Pending"/>
  </r>
  <r>
    <x v="60"/>
    <d v="2025-01-24T00:00:00"/>
    <s v="C061"/>
    <s v="P061"/>
    <n v="1"/>
    <n v="85000"/>
    <n v="85000"/>
    <n v="0.05"/>
    <n v="4250"/>
    <n v="34000"/>
    <n v="114750"/>
    <n v="29750"/>
    <s v="Rahul Khanna"/>
    <s v="Industrial"/>
    <s v="Electronics"/>
    <s v="Gurugram"/>
    <x v="0"/>
    <s v="Delivered"/>
  </r>
  <r>
    <x v="61"/>
    <d v="2025-01-24T00:00:00"/>
    <s v="C062"/>
    <s v="P062"/>
    <n v="17"/>
    <n v="500"/>
    <n v="8500"/>
    <n v="0.05"/>
    <n v="425"/>
    <n v="3400"/>
    <n v="11475"/>
    <n v="2975"/>
    <s v="Sneha Kulkarni"/>
    <s v="Medium"/>
    <s v="Books &amp; Stationeries"/>
    <s v="Gurugram"/>
    <x v="2"/>
    <s v="Pending"/>
  </r>
  <r>
    <x v="62"/>
    <d v="2025-01-24T00:00:00"/>
    <s v="C063"/>
    <s v="P063"/>
    <n v="18"/>
    <n v="800"/>
    <n v="14400"/>
    <n v="0.05"/>
    <n v="720"/>
    <n v="5760"/>
    <n v="19440"/>
    <n v="5040"/>
    <s v="Vihaan Yadav"/>
    <s v="Medium"/>
    <s v="Electronics"/>
    <s v="Gurugram"/>
    <x v="2"/>
    <s v="Pending"/>
  </r>
  <r>
    <x v="63"/>
    <d v="2025-01-24T00:00:00"/>
    <s v="C064"/>
    <s v="P064"/>
    <n v="18"/>
    <n v="1000"/>
    <n v="18000"/>
    <n v="0.05"/>
    <n v="900"/>
    <n v="7200"/>
    <n v="24300"/>
    <n v="6300"/>
    <s v="Diya Mathur"/>
    <s v="Medium"/>
    <s v="Electronics"/>
    <s v="Gurugram"/>
    <x v="0"/>
    <s v="Pending"/>
  </r>
  <r>
    <x v="64"/>
    <d v="2025-01-24T00:00:00"/>
    <s v="C065"/>
    <s v="P065"/>
    <n v="2"/>
    <n v="30000"/>
    <n v="60000"/>
    <n v="0.1"/>
    <n v="6000"/>
    <n v="24000"/>
    <n v="78000"/>
    <n v="18000"/>
    <s v="Karan Gupta"/>
    <s v="Large"/>
    <s v="Electronics"/>
    <s v="Gurugram"/>
    <x v="5"/>
    <s v="Pending"/>
  </r>
  <r>
    <x v="65"/>
    <d v="2025-01-24T00:00:00"/>
    <s v="C066"/>
    <s v="P066"/>
    <n v="3"/>
    <n v="4000"/>
    <n v="12000"/>
    <n v="0.1"/>
    <n v="1200"/>
    <n v="4800"/>
    <n v="15600"/>
    <n v="3600"/>
    <s v="Neha Iyer"/>
    <s v="Medium"/>
    <s v="Electronics"/>
    <s v="Kochi"/>
    <x v="0"/>
    <s v="Pending"/>
  </r>
  <r>
    <x v="66"/>
    <d v="2025-01-24T00:00:00"/>
    <s v="C067"/>
    <s v="P067"/>
    <n v="4"/>
    <n v="5000"/>
    <n v="20000"/>
    <n v="0.1"/>
    <n v="2000"/>
    <n v="8000"/>
    <n v="26000"/>
    <n v="6000"/>
    <s v="Aryan Mishra"/>
    <s v="Medium"/>
    <s v="Beverages"/>
    <s v="Coimbatore"/>
    <x v="0"/>
    <s v="Pending"/>
  </r>
  <r>
    <x v="67"/>
    <d v="2025-01-24T00:00:00"/>
    <s v="C068"/>
    <s v="P068"/>
    <n v="5"/>
    <n v="6000"/>
    <n v="30000"/>
    <n v="0.1"/>
    <n v="3000"/>
    <n v="12000"/>
    <n v="39000"/>
    <n v="9000"/>
    <s v="Kavya Pandey"/>
    <s v="Large"/>
    <s v="Home and kitchen"/>
    <s v="Kanpur"/>
    <x v="0"/>
    <s v="Pending"/>
  </r>
  <r>
    <x v="68"/>
    <d v="2025-01-24T00:00:00"/>
    <s v="C069"/>
    <s v="P069"/>
    <n v="6"/>
    <n v="1000"/>
    <n v="6000"/>
    <n v="0.05"/>
    <n v="300"/>
    <n v="2400"/>
    <n v="8100"/>
    <n v="2100"/>
    <s v="Yash Srivastava"/>
    <s v="Small"/>
    <s v="Home and kitchen"/>
    <s v="Kanpur"/>
    <x v="2"/>
    <s v="Pending"/>
  </r>
  <r>
    <x v="69"/>
    <d v="2025-01-24T00:00:00"/>
    <s v="C070"/>
    <s v="P070"/>
    <n v="7"/>
    <n v="800"/>
    <n v="5600"/>
    <n v="0.05"/>
    <n v="280"/>
    <n v="2240"/>
    <n v="7560"/>
    <n v="1960"/>
    <s v="Riya Dutta"/>
    <s v="Small"/>
    <s v="Home and kitchen"/>
    <s v="Lavasa"/>
    <x v="2"/>
    <s v="Pending"/>
  </r>
  <r>
    <x v="70"/>
    <d v="2025-01-24T00:00:00"/>
    <s v="C071"/>
    <s v="P071"/>
    <n v="8"/>
    <n v="200"/>
    <n v="1600"/>
    <n v="0"/>
    <n v="0"/>
    <n v="640"/>
    <n v="2240"/>
    <n v="640"/>
    <s v="Dev Sood"/>
    <s v="Micro"/>
    <s v="Books &amp; Stationeries"/>
    <s v="Ludhiana"/>
    <x v="2"/>
    <s v="Pending"/>
  </r>
  <r>
    <x v="71"/>
    <d v="2025-01-24T00:00:00"/>
    <s v="C072"/>
    <s v="P072"/>
    <n v="9"/>
    <n v="4590"/>
    <n v="41310"/>
    <n v="0.2"/>
    <n v="8262"/>
    <n v="16524"/>
    <n v="49572"/>
    <n v="8262"/>
    <s v="Nisha Verma"/>
    <s v="Large"/>
    <s v="Art and collections"/>
    <s v="Ahmedabad"/>
    <x v="2"/>
    <s v="Pending"/>
  </r>
  <r>
    <x v="72"/>
    <d v="2025-01-24T00:00:00"/>
    <s v="C073"/>
    <s v="P073"/>
    <n v="10"/>
    <n v="1375"/>
    <n v="13750"/>
    <n v="0"/>
    <n v="0"/>
    <n v="5500"/>
    <n v="19250"/>
    <n v="5500"/>
    <s v="Siddharth Agarwal"/>
    <s v="Medium"/>
    <s v="Books &amp; Stationeries"/>
    <s v="Faridabad"/>
    <x v="2"/>
    <s v="Pending"/>
  </r>
  <r>
    <x v="73"/>
    <d v="2025-01-24T00:00:00"/>
    <s v="C074"/>
    <s v="P074"/>
    <n v="1"/>
    <n v="30000"/>
    <n v="30000"/>
    <n v="0.05"/>
    <n v="1500"/>
    <n v="12000"/>
    <n v="40500"/>
    <n v="10500"/>
    <s v="Pooja Saxena"/>
    <s v="Large"/>
    <s v="Electronics"/>
    <s v="Noida"/>
    <x v="2"/>
    <s v="Pending"/>
  </r>
  <r>
    <x v="74"/>
    <d v="2025-01-24T00:00:00"/>
    <s v="C075"/>
    <s v="P075"/>
    <n v="2"/>
    <n v="14000"/>
    <n v="28000"/>
    <n v="0"/>
    <n v="0"/>
    <n v="11200"/>
    <n v="39200"/>
    <n v="11200"/>
    <s v="Varun Tiwari"/>
    <s v="Large"/>
    <s v="Electronics"/>
    <s v="Meerut"/>
    <x v="2"/>
    <s v="Pending"/>
  </r>
  <r>
    <x v="75"/>
    <d v="2025-01-24T00:00:00"/>
    <s v="C076"/>
    <s v="P076"/>
    <n v="3"/>
    <n v="1000"/>
    <n v="3000"/>
    <n v="0"/>
    <n v="0"/>
    <n v="1200"/>
    <n v="4200"/>
    <n v="1200"/>
    <s v="Simran Sinha"/>
    <s v="Micro"/>
    <s v="Home and Lifestyle "/>
    <s v="Patna"/>
    <x v="2"/>
    <s v="Delivered"/>
  </r>
  <r>
    <x v="76"/>
    <d v="2025-01-24T00:00:00"/>
    <s v="C077"/>
    <s v="P077"/>
    <n v="4"/>
    <n v="250"/>
    <n v="1000"/>
    <n v="0"/>
    <n v="0"/>
    <n v="400"/>
    <n v="1400"/>
    <n v="400"/>
    <s v="Aniket Banerjee"/>
    <s v="Micro"/>
    <s v="Electronics"/>
    <s v="Kolkata"/>
    <x v="2"/>
    <s v="Delivered"/>
  </r>
  <r>
    <x v="77"/>
    <d v="2025-01-24T00:00:00"/>
    <s v="C078"/>
    <s v="P078"/>
    <n v="5"/>
    <n v="175"/>
    <n v="875"/>
    <n v="0"/>
    <n v="0"/>
    <n v="350"/>
    <n v="1225"/>
    <n v="350"/>
    <s v="Tanvi Vohra"/>
    <s v="Micro"/>
    <s v="Beverages"/>
    <s v="Kolkata"/>
    <x v="1"/>
    <s v="Delivered"/>
  </r>
  <r>
    <x v="78"/>
    <d v="2025-01-24T00:00:00"/>
    <s v="C079"/>
    <s v="P079"/>
    <n v="6"/>
    <n v="500"/>
    <n v="3000"/>
    <n v="0"/>
    <n v="0"/>
    <n v="1200"/>
    <n v="4200"/>
    <n v="1200"/>
    <s v="Manav Sharma"/>
    <s v="Micro"/>
    <s v="Hardware"/>
    <s v="Delhi"/>
    <x v="1"/>
    <s v="Delivered"/>
  </r>
  <r>
    <x v="79"/>
    <d v="2025-01-24T00:00:00"/>
    <s v="C080"/>
    <s v="P080"/>
    <n v="7"/>
    <n v="700"/>
    <n v="4900"/>
    <n v="0"/>
    <n v="0"/>
    <n v="1960"/>
    <n v="6860"/>
    <n v="1960"/>
    <s v="Shreya Bansal"/>
    <s v="Small"/>
    <s v="Hardware"/>
    <s v="Amravati"/>
    <x v="1"/>
    <s v="Delivered"/>
  </r>
  <r>
    <x v="80"/>
    <d v="2025-01-24T00:00:00"/>
    <s v="C081"/>
    <s v="P081"/>
    <n v="8"/>
    <n v="1200"/>
    <n v="9600"/>
    <n v="0"/>
    <n v="0"/>
    <n v="3840"/>
    <n v="13440"/>
    <n v="3840"/>
    <s v="Vivaan Chopra"/>
    <s v="Medium"/>
    <s v="Art and collections"/>
    <s v="Noida"/>
    <x v="1"/>
    <s v="Pending"/>
  </r>
  <r>
    <x v="81"/>
    <d v="2025-01-24T00:00:00"/>
    <s v="C082"/>
    <s v="P082"/>
    <n v="9"/>
    <n v="900"/>
    <n v="8100"/>
    <n v="0"/>
    <n v="0"/>
    <n v="3240"/>
    <n v="11340"/>
    <n v="3240"/>
    <s v="Avni Sethi"/>
    <s v="Medium"/>
    <s v="Art and collections"/>
    <s v="Noida"/>
    <x v="1"/>
    <s v="Delivered"/>
  </r>
  <r>
    <x v="82"/>
    <d v="2025-01-24T00:00:00"/>
    <s v="C083"/>
    <s v="P083"/>
    <n v="1"/>
    <n v="105000"/>
    <n v="105000"/>
    <n v="0.05"/>
    <n v="5250"/>
    <n v="42000"/>
    <n v="141750"/>
    <n v="36750"/>
    <s v="Reyansh Jain"/>
    <s v="Wholesale"/>
    <s v="Electronics"/>
    <s v="Gurugram"/>
    <x v="0"/>
    <s v="Pending"/>
  </r>
  <r>
    <x v="83"/>
    <d v="2025-01-24T00:00:00"/>
    <s v="C084"/>
    <s v="P084"/>
    <n v="2"/>
    <n v="12500"/>
    <n v="25000"/>
    <n v="0.15"/>
    <n v="3750"/>
    <n v="10000"/>
    <n v="31250"/>
    <n v="6250"/>
    <s v="Myra Mukherjee"/>
    <s v="Large"/>
    <s v="Sports &amp; Fitness"/>
    <s v="Gurugram"/>
    <x v="0"/>
    <s v="Pending"/>
  </r>
  <r>
    <x v="84"/>
    <d v="2025-01-24T00:00:00"/>
    <s v="C085"/>
    <s v="P085"/>
    <n v="3"/>
    <n v="350"/>
    <n v="1050"/>
    <n v="0"/>
    <n v="0"/>
    <n v="420"/>
    <n v="1470"/>
    <n v="420"/>
    <s v="Krish Dubey"/>
    <s v="Micro"/>
    <s v="Food and Beverages"/>
    <s v="Gurugram"/>
    <x v="1"/>
    <s v="Delivered"/>
  </r>
  <r>
    <x v="85"/>
    <d v="2025-01-24T00:00:00"/>
    <s v="C086"/>
    <s v="P086"/>
    <n v="4"/>
    <n v="650"/>
    <n v="2600"/>
    <n v="0"/>
    <n v="0"/>
    <n v="1040"/>
    <n v="3640"/>
    <n v="1040"/>
    <s v="Kiara Naidu"/>
    <s v="Micro"/>
    <s v="Food and Beverages"/>
    <s v="Chennai"/>
    <x v="1"/>
    <s v="Delivered"/>
  </r>
  <r>
    <x v="86"/>
    <d v="2025-01-24T00:00:00"/>
    <s v="C087"/>
    <s v="P087"/>
    <n v="5"/>
    <n v="1450"/>
    <n v="7250"/>
    <n v="0.1"/>
    <n v="725"/>
    <n v="2900"/>
    <n v="9425"/>
    <n v="2175"/>
    <s v="Atharv Malhotra"/>
    <s v="Small"/>
    <s v="Home &amp; décor"/>
    <s v="Noida"/>
    <x v="0"/>
    <s v="Delivered"/>
  </r>
  <r>
    <x v="87"/>
    <d v="2025-01-24T00:00:00"/>
    <s v="C088"/>
    <s v="P088"/>
    <n v="7"/>
    <n v="2500"/>
    <n v="17500"/>
    <n v="0.1"/>
    <n v="1750"/>
    <n v="7000"/>
    <n v="22750"/>
    <n v="5250"/>
    <s v="Anika Joshi"/>
    <s v="Medium"/>
    <s v="Home &amp; décor"/>
    <s v="Mumbai"/>
    <x v="0"/>
    <s v="Delivered"/>
  </r>
  <r>
    <x v="88"/>
    <d v="2025-01-24T00:00:00"/>
    <s v="C089"/>
    <s v="P089"/>
    <n v="8"/>
    <n v="799"/>
    <n v="6392"/>
    <n v="0"/>
    <n v="0"/>
    <n v="2556.8000000000002"/>
    <n v="8948.7999999999993"/>
    <n v="2556.7999999999993"/>
    <s v="Dhruv Chawla"/>
    <s v="Small"/>
    <s v="Electronics"/>
    <s v="Delhi"/>
    <x v="1"/>
    <s v="Pending"/>
  </r>
  <r>
    <x v="89"/>
    <d v="2025-01-24T00:00:00"/>
    <s v="C090"/>
    <s v="P090"/>
    <n v="8"/>
    <n v="1200"/>
    <n v="9600"/>
    <n v="0.05"/>
    <n v="480"/>
    <n v="3840"/>
    <n v="12960"/>
    <n v="3360"/>
    <s v="Saanvi Goyal"/>
    <s v="Medium"/>
    <s v="Electronics"/>
    <s v="Gurugram"/>
    <x v="1"/>
    <s v="Pending"/>
  </r>
  <r>
    <x v="90"/>
    <d v="2025-01-24T00:00:00"/>
    <s v="C091"/>
    <s v="P091"/>
    <n v="8"/>
    <n v="3450"/>
    <n v="27600"/>
    <n v="0.1"/>
    <n v="2760"/>
    <n v="11040"/>
    <n v="35880"/>
    <n v="8280"/>
    <s v="Rudra Pillai"/>
    <s v="Large"/>
    <s v="Electronics"/>
    <s v="Coimbatore"/>
    <x v="0"/>
    <s v="Pending"/>
  </r>
  <r>
    <x v="91"/>
    <d v="2025-01-24T00:00:00"/>
    <s v="C092"/>
    <s v="P092"/>
    <n v="9"/>
    <n v="8100"/>
    <n v="72900"/>
    <n v="0.1"/>
    <n v="7290"/>
    <n v="29160"/>
    <n v="94770"/>
    <n v="21870"/>
    <s v="Navya Tripathi"/>
    <s v="Large"/>
    <s v="Food and Beverages"/>
    <s v="Ghaziabad"/>
    <x v="0"/>
    <s v="Pending"/>
  </r>
  <r>
    <x v="92"/>
    <d v="2025-01-24T00:00:00"/>
    <s v="C093"/>
    <s v="P093"/>
    <n v="6"/>
    <n v="550"/>
    <n v="3300"/>
    <n v="0"/>
    <n v="0"/>
    <n v="1320"/>
    <n v="4620"/>
    <n v="1320"/>
    <s v="Ayush Bhatt"/>
    <s v="Micro"/>
    <s v="Books &amp; Stationeries"/>
    <s v="Delhi"/>
    <x v="0"/>
    <s v="Pending"/>
  </r>
  <r>
    <x v="93"/>
    <d v="2025-01-25T00:00:00"/>
    <s v="C094"/>
    <s v="P094"/>
    <n v="5"/>
    <n v="1200"/>
    <n v="6000"/>
    <n v="0"/>
    <n v="0"/>
    <n v="2400"/>
    <n v="8400"/>
    <n v="2400"/>
    <s v="Tanya Kapoor"/>
    <s v="Small"/>
    <s v="Electronics"/>
    <s v="Pune"/>
    <x v="1"/>
    <s v="Pending"/>
  </r>
  <r>
    <x v="94"/>
    <d v="2025-01-25T00:00:00"/>
    <s v="C095"/>
    <s v="P095"/>
    <n v="4"/>
    <n v="200"/>
    <n v="800"/>
    <n v="0"/>
    <n v="0"/>
    <n v="320"/>
    <n v="1120"/>
    <n v="320"/>
    <s v="Arnav Nair"/>
    <s v="Micro"/>
    <s v="Books &amp; Stationeries"/>
    <s v="Delhi"/>
    <x v="1"/>
    <s v="Pending"/>
  </r>
  <r>
    <x v="95"/>
    <d v="2025-01-25T00:00:00"/>
    <s v="C096"/>
    <s v="P096"/>
    <n v="3"/>
    <n v="550"/>
    <n v="1650"/>
    <n v="0"/>
    <n v="0"/>
    <n v="660"/>
    <n v="2310"/>
    <n v="660"/>
    <s v="Ira Rao"/>
    <s v="Micro"/>
    <s v="Dry Fruits"/>
    <s v="Jammu"/>
    <x v="1"/>
    <s v="Pending"/>
  </r>
  <r>
    <x v="96"/>
    <d v="2025-01-25T00:00:00"/>
    <s v="C097"/>
    <s v="P097"/>
    <n v="3"/>
    <n v="650"/>
    <n v="1950"/>
    <n v="0"/>
    <n v="0"/>
    <n v="780"/>
    <n v="2730"/>
    <n v="780"/>
    <s v="Shaurya Bhatia"/>
    <s v="Micro"/>
    <s v="Electronics"/>
    <s v="Karnal"/>
    <x v="1"/>
    <s v="Pending"/>
  </r>
  <r>
    <x v="97"/>
    <d v="2025-01-25T00:00:00"/>
    <s v="C098"/>
    <s v="P098"/>
    <n v="8"/>
    <n v="3000"/>
    <n v="24000"/>
    <n v="0"/>
    <n v="0"/>
    <n v="9600"/>
    <n v="33600"/>
    <n v="9600"/>
    <s v="Mahi Menon"/>
    <s v="Large"/>
    <s v="Electronics"/>
    <s v="Jaipur"/>
    <x v="0"/>
    <s v="Pending"/>
  </r>
  <r>
    <x v="98"/>
    <d v="2025-01-25T00:00:00"/>
    <s v="C099"/>
    <s v="P099"/>
    <n v="7"/>
    <n v="700"/>
    <n v="4900"/>
    <n v="0"/>
    <n v="0"/>
    <n v="1960"/>
    <n v="6860"/>
    <n v="1960"/>
    <s v="Parth Shukla"/>
    <s v="Small"/>
    <s v="Books &amp; Stationeries"/>
    <s v="Jaipur"/>
    <x v="1"/>
    <s v="Pending"/>
  </r>
  <r>
    <x v="99"/>
    <d v="2025-01-25T00:00:00"/>
    <s v="C100"/>
    <s v="P100"/>
    <n v="6"/>
    <n v="14500"/>
    <n v="87000"/>
    <n v="0.25"/>
    <n v="21750"/>
    <n v="34800"/>
    <n v="100050"/>
    <n v="13050"/>
    <s v="Aanya Ahuja"/>
    <s v="Industrial"/>
    <s v="Electronics"/>
    <s v="Delhi"/>
    <x v="0"/>
    <s v="Pending"/>
  </r>
  <r>
    <x v="100"/>
    <d v="2025-01-25T00:00:00"/>
    <s v="C101"/>
    <s v="P101"/>
    <n v="5"/>
    <n v="12500"/>
    <n v="62500"/>
    <n v="0.2"/>
    <n v="12500"/>
    <n v="25000"/>
    <n v="75000"/>
    <n v="12500"/>
    <s v="Aarav Kapoor"/>
    <s v="Large"/>
    <s v="Electronics"/>
    <s v="Delhi"/>
    <x v="0"/>
    <s v="Pending"/>
  </r>
  <r>
    <x v="101"/>
    <d v="2025-01-25T00:00:00"/>
    <s v="C102"/>
    <s v="P102"/>
    <n v="4"/>
    <n v="10500"/>
    <n v="42000"/>
    <n v="0.15"/>
    <n v="6300"/>
    <n v="16800"/>
    <n v="52500"/>
    <n v="10500"/>
    <s v="Aditi Nair"/>
    <s v="Large"/>
    <s v="Electronics"/>
    <s v="Kochi"/>
    <x v="0"/>
    <s v="Pending"/>
  </r>
  <r>
    <x v="102"/>
    <d v="2025-01-25T00:00:00"/>
    <s v="C103"/>
    <s v="P103"/>
    <n v="5"/>
    <n v="25000"/>
    <n v="125000"/>
    <n v="0.15"/>
    <n v="18750"/>
    <n v="50000"/>
    <n v="156250"/>
    <n v="31250"/>
    <s v="Arjun Rao"/>
    <s v="Wholesale"/>
    <s v="Electronics"/>
    <s v="pune"/>
    <x v="4"/>
    <s v="Pending"/>
  </r>
  <r>
    <x v="103"/>
    <d v="2025-01-25T00:00:00"/>
    <s v="C104"/>
    <s v="P104"/>
    <n v="3"/>
    <n v="12000"/>
    <n v="36000"/>
    <n v="0.1"/>
    <n v="3600"/>
    <n v="14400"/>
    <n v="46800"/>
    <n v="10800"/>
    <s v="Ananya Bhatia"/>
    <s v="Large"/>
    <s v="Electronics"/>
    <s v="Delhi"/>
    <x v="5"/>
    <s v="Pending"/>
  </r>
  <r>
    <x v="104"/>
    <d v="2025-01-25T00:00:00"/>
    <s v="C105"/>
    <s v="P105"/>
    <n v="2"/>
    <n v="20000"/>
    <n v="40000"/>
    <n v="0.25"/>
    <n v="10000"/>
    <n v="16000"/>
    <n v="46000"/>
    <n v="6000"/>
    <s v="Aditya Menon"/>
    <s v="Large"/>
    <s v="Electronics"/>
    <s v="ghaziabad"/>
    <x v="0"/>
    <s v="Pending"/>
  </r>
  <r>
    <x v="105"/>
    <d v="2025-01-25T00:00:00"/>
    <s v="C106"/>
    <s v="P106"/>
    <n v="3"/>
    <n v="30000"/>
    <n v="90000"/>
    <n v="0.16"/>
    <n v="14400"/>
    <n v="36000"/>
    <n v="111600"/>
    <n v="21600"/>
    <s v="Ishita Shukla"/>
    <s v="Industrial"/>
    <s v="Electronics"/>
    <s v="Faridabad"/>
    <x v="4"/>
    <s v="Pending"/>
  </r>
  <r>
    <x v="106"/>
    <d v="2025-01-25T00:00:00"/>
    <s v="C107"/>
    <s v="P107"/>
    <n v="4"/>
    <n v="40000"/>
    <n v="160000"/>
    <n v="0.05"/>
    <n v="8000"/>
    <n v="64000"/>
    <n v="216000"/>
    <n v="56000"/>
    <s v="Kabir Ahuja"/>
    <s v="Wholesale"/>
    <s v="Electronics"/>
    <s v="Gurugram"/>
    <x v="4"/>
    <s v="Pending"/>
  </r>
  <r>
    <x v="107"/>
    <d v="2025-01-25T00:00:00"/>
    <s v="C108"/>
    <s v="P108"/>
    <n v="4"/>
    <n v="32000"/>
    <n v="128000"/>
    <n v="0.05"/>
    <n v="6400"/>
    <n v="51200"/>
    <n v="172800"/>
    <n v="44800"/>
    <s v="Meera Singh"/>
    <s v="Wholesale"/>
    <s v="Electronics"/>
    <s v="Delhi"/>
    <x v="5"/>
    <s v="Pending"/>
  </r>
  <r>
    <x v="108"/>
    <d v="2025-01-25T00:00:00"/>
    <s v="C109"/>
    <s v="P109"/>
    <n v="2"/>
    <n v="70000"/>
    <n v="140000"/>
    <n v="0.05"/>
    <n v="7000"/>
    <n v="56000"/>
    <n v="189000"/>
    <n v="49000"/>
    <s v="Rohan Reddy"/>
    <s v="Wholesale"/>
    <s v="Electronics"/>
    <s v="Bangalore"/>
    <x v="5"/>
    <s v="Pending"/>
  </r>
  <r>
    <x v="109"/>
    <d v="2025-01-25T00:00:00"/>
    <s v="C110"/>
    <s v="P110"/>
    <n v="11"/>
    <n v="15600"/>
    <n v="171600"/>
    <n v="0.1"/>
    <n v="17160"/>
    <n v="68640"/>
    <n v="223080"/>
    <n v="51480"/>
    <s v="Priya Das"/>
    <s v="Wholesale"/>
    <s v="Electronics"/>
    <s v="Kolkata"/>
    <x v="4"/>
    <s v="Pending"/>
  </r>
  <r>
    <x v="110"/>
    <d v="2025-01-25T00:00:00"/>
    <s v="C111"/>
    <s v="P111"/>
    <n v="22"/>
    <n v="25000"/>
    <n v="550000"/>
    <n v="0.25"/>
    <n v="137500"/>
    <n v="220000"/>
    <n v="632500"/>
    <n v="82500"/>
    <s v="Rahul Arora"/>
    <s v="Wholesale"/>
    <s v="Electronics"/>
    <s v="Gurugram"/>
    <x v="3"/>
    <s v="Pending"/>
  </r>
  <r>
    <x v="111"/>
    <d v="2025-01-25T00:00:00"/>
    <s v="C112"/>
    <s v="P112"/>
    <n v="13"/>
    <n v="14000"/>
    <n v="182000"/>
    <n v="0.1"/>
    <n v="18200"/>
    <n v="72800"/>
    <n v="236600"/>
    <n v="54600"/>
    <s v="Sneha Desai"/>
    <s v="Wholesale"/>
    <s v="Fashion &amp; Acessories"/>
    <s v="Ghaziabad"/>
    <x v="3"/>
    <s v="Pending"/>
  </r>
  <r>
    <x v="112"/>
    <d v="2025-01-25T00:00:00"/>
    <s v="C113"/>
    <s v="P113"/>
    <n v="15"/>
    <n v="7500"/>
    <n v="112500"/>
    <n v="0.05"/>
    <n v="5625"/>
    <n v="45000"/>
    <n v="151875"/>
    <n v="39375"/>
    <s v="Vihaan Thakur"/>
    <s v="Wholesale"/>
    <s v="Fashion &amp; Acessories"/>
    <s v="Faridabad"/>
    <x v="5"/>
    <s v="Pending"/>
  </r>
  <r>
    <x v="113"/>
    <d v="2025-01-25T00:00:00"/>
    <s v="C114"/>
    <s v="P114"/>
    <n v="15"/>
    <n v="4500"/>
    <n v="67500"/>
    <n v="0.1"/>
    <n v="6750"/>
    <n v="27000"/>
    <n v="87750"/>
    <n v="20250"/>
    <s v="Diya Kohli"/>
    <s v="Large"/>
    <s v="Fashion &amp; Acessories"/>
    <s v="Delhi"/>
    <x v="4"/>
    <s v="Pending"/>
  </r>
  <r>
    <x v="114"/>
    <d v="2025-01-25T00:00:00"/>
    <s v="C115"/>
    <s v="P115"/>
    <n v="16"/>
    <n v="1450"/>
    <n v="23200"/>
    <n v="0.05"/>
    <n v="1160"/>
    <n v="9280"/>
    <n v="31320"/>
    <n v="8120"/>
    <s v="Karan Mehta"/>
    <s v="Large"/>
    <s v="Fashion &amp; Acessories"/>
    <s v="Surat"/>
    <x v="1"/>
    <s v="Pending"/>
  </r>
  <r>
    <x v="115"/>
    <d v="2025-01-25T00:00:00"/>
    <s v="C116"/>
    <s v="P116"/>
    <n v="2"/>
    <n v="12500"/>
    <n v="25000"/>
    <n v="0.15"/>
    <n v="3750"/>
    <n v="10000"/>
    <n v="31250"/>
    <n v="6250"/>
    <s v="Neha Patel"/>
    <s v="Large"/>
    <s v="Electronics"/>
    <s v="Surat"/>
    <x v="0"/>
    <s v="Pending"/>
  </r>
  <r>
    <x v="116"/>
    <d v="2025-01-25T00:00:00"/>
    <s v="C117"/>
    <s v="P117"/>
    <n v="3"/>
    <n v="3500"/>
    <n v="10500"/>
    <n v="0"/>
    <n v="0"/>
    <n v="4200"/>
    <n v="14700"/>
    <n v="4200"/>
    <s v="Aryan Khan"/>
    <s v="Medium"/>
    <s v="Electronics"/>
    <s v="Mumbai"/>
    <x v="0"/>
    <s v="Pending"/>
  </r>
  <r>
    <x v="117"/>
    <d v="2025-01-25T00:00:00"/>
    <s v="C118"/>
    <s v="P118"/>
    <n v="4"/>
    <n v="124500"/>
    <n v="498000"/>
    <n v="0.15"/>
    <n v="74700"/>
    <n v="199200"/>
    <n v="622500"/>
    <n v="124500"/>
    <s v="Kavya Khanna"/>
    <s v="Wholesale"/>
    <s v="Electronics"/>
    <s v="Delhi"/>
    <x v="0"/>
    <s v="Delivered"/>
  </r>
  <r>
    <x v="118"/>
    <d v="2025-01-25T00:00:00"/>
    <s v="C119"/>
    <s v="P119"/>
    <n v="5"/>
    <n v="15200"/>
    <n v="76000"/>
    <n v="0.05"/>
    <n v="3800"/>
    <n v="30400"/>
    <n v="102600"/>
    <n v="26600"/>
    <s v="Yash Kulkarni"/>
    <s v="Industrial"/>
    <s v="Electronics"/>
    <s v="Karnal"/>
    <x v="1"/>
    <s v="Delivered"/>
  </r>
  <r>
    <x v="119"/>
    <d v="2025-01-25T00:00:00"/>
    <s v="C120"/>
    <s v="P120"/>
    <n v="6"/>
    <n v="23565"/>
    <n v="141390"/>
    <n v="0.15"/>
    <n v="21208.5"/>
    <n v="56556"/>
    <n v="176737.5"/>
    <n v="35347.5"/>
    <s v="Riya Yadav"/>
    <s v="Wholesale"/>
    <s v="Electronics"/>
    <s v="Jind"/>
    <x v="0"/>
    <s v="Delivered"/>
  </r>
  <r>
    <x v="120"/>
    <d v="2025-01-26T00:00:00"/>
    <s v="C121"/>
    <s v="P121"/>
    <n v="7"/>
    <n v="70000"/>
    <n v="490000"/>
    <n v="0.25"/>
    <n v="122500"/>
    <n v="196000"/>
    <n v="563500"/>
    <n v="73500"/>
    <s v="Dev Mathur"/>
    <s v="Wholesale"/>
    <s v="Electronics"/>
    <s v="Rohtak"/>
    <x v="0"/>
    <s v="Delivered"/>
  </r>
  <r>
    <x v="121"/>
    <d v="2025-01-26T00:00:00"/>
    <s v="C122"/>
    <s v="P122"/>
    <n v="8"/>
    <n v="8000"/>
    <n v="64000"/>
    <n v="0.15"/>
    <n v="9600"/>
    <n v="25600"/>
    <n v="80000"/>
    <n v="16000"/>
    <s v="Nisha Gupta"/>
    <s v="Large"/>
    <s v="Home &amp; décor"/>
    <s v="Varanasi"/>
    <x v="0"/>
    <s v="Delivered"/>
  </r>
  <r>
    <x v="122"/>
    <d v="2025-01-26T00:00:00"/>
    <s v="C123"/>
    <s v="P123"/>
    <n v="9"/>
    <n v="11000"/>
    <n v="99000"/>
    <n v="0.25"/>
    <n v="24750"/>
    <n v="39600"/>
    <n v="113850"/>
    <n v="14850"/>
    <s v="Siddharth Iyer"/>
    <s v="Industrial"/>
    <s v="Home &amp; décor"/>
    <s v="Vishakhapatnam"/>
    <x v="0"/>
    <s v="Delivered"/>
  </r>
  <r>
    <x v="123"/>
    <d v="2025-01-26T00:00:00"/>
    <s v="C124"/>
    <s v="P124"/>
    <n v="8"/>
    <n v="14000"/>
    <n v="112000"/>
    <n v="0.15"/>
    <n v="16800"/>
    <n v="44800"/>
    <n v="140000"/>
    <n v="28000"/>
    <s v="Pooja Mishra"/>
    <s v="Wholesale"/>
    <s v="Home &amp; décor"/>
    <s v="Ayodhya"/>
    <x v="0"/>
    <s v="Delivered"/>
  </r>
  <r>
    <x v="124"/>
    <d v="2025-01-26T00:00:00"/>
    <s v="C125"/>
    <s v="P125"/>
    <n v="9"/>
    <n v="17000"/>
    <n v="153000"/>
    <n v="0.25"/>
    <n v="38250"/>
    <n v="61200"/>
    <n v="175950"/>
    <n v="22950"/>
    <s v="Varun Pandey"/>
    <s v="Wholesale"/>
    <s v="Home &amp; décor"/>
    <s v="Ayodhya"/>
    <x v="4"/>
    <s v="Delivered"/>
  </r>
  <r>
    <x v="125"/>
    <d v="2025-01-26T00:00:00"/>
    <s v="C126"/>
    <s v="P126"/>
    <n v="8"/>
    <n v="20000"/>
    <n v="160000"/>
    <n v="0.15"/>
    <n v="24000"/>
    <n v="64000"/>
    <n v="200000"/>
    <n v="40000"/>
    <s v="Simran Srivastava"/>
    <s v="Wholesale"/>
    <s v="Jewelry"/>
    <s v="Ghaziabad"/>
    <x v="4"/>
    <s v="Delivered"/>
  </r>
  <r>
    <x v="126"/>
    <d v="2025-01-26T00:00:00"/>
    <s v="C127"/>
    <s v="P127"/>
    <n v="9"/>
    <n v="23000"/>
    <n v="207000"/>
    <n v="0.25"/>
    <n v="51750"/>
    <n v="82800"/>
    <n v="238050"/>
    <n v="31050"/>
    <s v="Aniket Dutta"/>
    <s v="Wholesale"/>
    <s v="Home &amp; décor"/>
    <s v="Noida"/>
    <x v="4"/>
    <s v="Delivered"/>
  </r>
  <r>
    <x v="127"/>
    <d v="2025-01-26T00:00:00"/>
    <s v="C128"/>
    <s v="P128"/>
    <n v="8"/>
    <n v="26000"/>
    <n v="208000"/>
    <n v="0.15"/>
    <n v="31200"/>
    <n v="83200"/>
    <n v="260000"/>
    <n v="52000"/>
    <s v="Tanvi Sood"/>
    <s v="Wholesale"/>
    <s v="Home &amp; décor"/>
    <s v="Chandigarh"/>
    <x v="4"/>
    <s v="Delivered"/>
  </r>
  <r>
    <x v="128"/>
    <d v="2025-01-26T00:00:00"/>
    <s v="C129"/>
    <s v="P129"/>
    <n v="9"/>
    <n v="29000"/>
    <n v="261000"/>
    <n v="0.25"/>
    <n v="65250"/>
    <n v="104400"/>
    <n v="300150"/>
    <n v="39150"/>
    <s v="Manav Verma"/>
    <s v="Wholesale"/>
    <s v="Home &amp; décor"/>
    <s v="Chandigarh"/>
    <x v="4"/>
    <s v="Delivered"/>
  </r>
  <r>
    <x v="129"/>
    <d v="2025-01-26T00:00:00"/>
    <s v="C130"/>
    <s v="P130"/>
    <n v="9"/>
    <n v="32000"/>
    <n v="288000"/>
    <n v="0.15"/>
    <n v="43200"/>
    <n v="115200"/>
    <n v="360000"/>
    <n v="72000"/>
    <s v="Shreya Agarwal"/>
    <s v="Wholesale"/>
    <s v="Electronics"/>
    <s v="Delhi"/>
    <x v="4"/>
    <s v="Pending"/>
  </r>
  <r>
    <x v="130"/>
    <d v="2025-01-26T00:00:00"/>
    <s v="C131"/>
    <s v="P131"/>
    <n v="9"/>
    <n v="35000"/>
    <n v="315000"/>
    <n v="0.02"/>
    <n v="6300"/>
    <n v="126000"/>
    <n v="434700"/>
    <n v="119700"/>
    <s v="Vivaan Saxena"/>
    <s v="Wholesale"/>
    <s v="Home &amp; décor"/>
    <s v="Delhi"/>
    <x v="4"/>
    <s v="Pending"/>
  </r>
  <r>
    <x v="131"/>
    <d v="2025-01-26T00:00:00"/>
    <s v="C132"/>
    <s v="P132"/>
    <n v="8"/>
    <n v="38000"/>
    <n v="304000"/>
    <n v="0.02"/>
    <n v="6080"/>
    <n v="121600"/>
    <n v="419520"/>
    <n v="115520"/>
    <s v="Avni Tiwari"/>
    <s v="Wholesale"/>
    <s v="Art and collections"/>
    <s v="Delhi"/>
    <x v="4"/>
    <s v="Pending"/>
  </r>
  <r>
    <x v="132"/>
    <d v="2025-01-26T00:00:00"/>
    <s v="C133"/>
    <s v="P133"/>
    <n v="7"/>
    <n v="41000"/>
    <n v="287000"/>
    <n v="0.2"/>
    <n v="57400"/>
    <n v="114800"/>
    <n v="344400"/>
    <n v="57400"/>
    <s v="Reyansh Sinha"/>
    <s v="Wholesale"/>
    <s v="Art and collections"/>
    <s v="Delhi"/>
    <x v="4"/>
    <s v="Pending"/>
  </r>
  <r>
    <x v="133"/>
    <d v="2025-01-26T00:00:00"/>
    <s v="C134"/>
    <s v="P134"/>
    <n v="2"/>
    <n v="47500"/>
    <n v="95000"/>
    <n v="0.1"/>
    <n v="9500"/>
    <n v="38000"/>
    <n v="123500"/>
    <n v="28500"/>
    <s v="Myra Banerjee"/>
    <s v="Industrial"/>
    <s v="Art and collections"/>
    <s v="Kolkata"/>
    <x v="4"/>
    <s v="Pending"/>
  </r>
  <r>
    <x v="134"/>
    <d v="2025-01-26T00:00:00"/>
    <s v="C135"/>
    <s v="P135"/>
    <n v="2"/>
    <n v="49000"/>
    <n v="98000"/>
    <n v="0.15"/>
    <n v="14700"/>
    <n v="39200"/>
    <n v="122500"/>
    <n v="24500"/>
    <s v="Krish Vohra"/>
    <s v="Industrial"/>
    <s v="Art and collections"/>
    <s v="Mumbai"/>
    <x v="4"/>
    <s v="Pending"/>
  </r>
  <r>
    <x v="135"/>
    <d v="2025-01-26T00:00:00"/>
    <s v="C136"/>
    <s v="P136"/>
    <n v="2"/>
    <n v="51500"/>
    <n v="103000"/>
    <n v="0.2"/>
    <n v="20600"/>
    <n v="41200"/>
    <n v="123600"/>
    <n v="20600"/>
    <s v="Kiara Sharma"/>
    <s v="Industrial"/>
    <s v="Art and collections"/>
    <s v="Pune"/>
    <x v="0"/>
    <s v="Pending"/>
  </r>
  <r>
    <x v="136"/>
    <d v="2025-01-26T00:00:00"/>
    <s v="C137"/>
    <s v="P137"/>
    <n v="1"/>
    <n v="70000"/>
    <n v="70000"/>
    <n v="0.125"/>
    <n v="8750"/>
    <n v="28000"/>
    <n v="89250"/>
    <n v="19250"/>
    <s v="Atharv Bansal"/>
    <s v="Large"/>
    <s v="Electronics"/>
    <s v="Chandigarh"/>
    <x v="4"/>
    <s v="Pending"/>
  </r>
  <r>
    <x v="137"/>
    <d v="2025-01-26T00:00:00"/>
    <s v="C138"/>
    <s v="P138"/>
    <n v="1"/>
    <n v="81000"/>
    <n v="81000"/>
    <n v="0.2"/>
    <n v="16200"/>
    <n v="32400"/>
    <n v="97200"/>
    <n v="16200"/>
    <s v="Anika Chopra"/>
    <s v="Large"/>
    <s v="Electronics"/>
    <s v="Noida"/>
    <x v="4"/>
    <s v="Pending"/>
  </r>
  <r>
    <x v="138"/>
    <d v="2025-01-26T00:00:00"/>
    <s v="C139"/>
    <s v="P139"/>
    <n v="2"/>
    <n v="56000"/>
    <n v="112000"/>
    <n v="0.25"/>
    <n v="28000"/>
    <n v="44800"/>
    <n v="128800"/>
    <n v="16800"/>
    <s v="Dhruv Sethi"/>
    <s v="Wholesale"/>
    <s v="Home &amp; décor"/>
    <s v="Ghaziabad"/>
    <x v="4"/>
    <s v="Pending"/>
  </r>
  <r>
    <x v="139"/>
    <d v="2025-01-26T00:00:00"/>
    <s v="C140"/>
    <s v="P140"/>
    <n v="1"/>
    <n v="35000"/>
    <n v="35000"/>
    <n v="0.05"/>
    <n v="1750"/>
    <n v="14000"/>
    <n v="47250"/>
    <n v="12250"/>
    <s v="Saanvi Jain"/>
    <s v="Large"/>
    <s v="Electronics"/>
    <s v="Kanpur"/>
    <x v="0"/>
    <s v="Pending"/>
  </r>
  <r>
    <x v="140"/>
    <d v="2025-01-26T00:00:00"/>
    <s v="C141"/>
    <s v="P141"/>
    <n v="3"/>
    <n v="24500"/>
    <n v="73500"/>
    <n v="0.12"/>
    <n v="8820"/>
    <n v="29400"/>
    <n v="94080"/>
    <n v="20580"/>
    <s v="Rudra Mukherjee"/>
    <s v="Large"/>
    <s v="Fashion &amp; Acessories"/>
    <s v="Aurangabad"/>
    <x v="4"/>
    <s v="Pending"/>
  </r>
  <r>
    <x v="141"/>
    <d v="2025-01-26T00:00:00"/>
    <s v="C142"/>
    <s v="P142"/>
    <n v="1"/>
    <n v="245000"/>
    <n v="245000"/>
    <n v="0.25"/>
    <n v="61250"/>
    <n v="98000"/>
    <n v="281750"/>
    <n v="36750"/>
    <s v="Navya Dubey"/>
    <s v="Wholesale"/>
    <s v="Electronics"/>
    <s v="Aligarh "/>
    <x v="4"/>
    <s v="Pending"/>
  </r>
  <r>
    <x v="142"/>
    <d v="2025-01-26T00:00:00"/>
    <s v="C143"/>
    <s v="P143"/>
    <n v="2"/>
    <n v="34599"/>
    <n v="69198"/>
    <n v="0.25"/>
    <n v="17299.5"/>
    <n v="27679.200000000001"/>
    <n v="79577.7"/>
    <n v="10379.699999999997"/>
    <s v="Ayush Naidu"/>
    <s v="Large"/>
    <s v="Electronics"/>
    <s v="Vizag"/>
    <x v="4"/>
    <s v="Pending"/>
  </r>
  <r>
    <x v="143"/>
    <d v="2025-01-26T00:00:00"/>
    <s v="C144"/>
    <s v="P144"/>
    <n v="3"/>
    <n v="45612"/>
    <n v="136836"/>
    <n v="0.2"/>
    <n v="27367.200000000001"/>
    <n v="54734.400000000001"/>
    <n v="164203.19999999998"/>
    <n v="27367.199999999983"/>
    <s v="Tanya Malhotra"/>
    <s v="Wholesale"/>
    <s v="Electronics"/>
    <s v="Faridabad"/>
    <x v="0"/>
    <s v="Pending"/>
  </r>
  <r>
    <x v="144"/>
    <d v="2025-01-26T00:00:00"/>
    <s v="C145"/>
    <s v="P145"/>
    <n v="4"/>
    <n v="12345"/>
    <n v="49380"/>
    <n v="0.15"/>
    <n v="7407"/>
    <n v="19752"/>
    <n v="61725"/>
    <n v="12345"/>
    <s v="Arnav Joshi"/>
    <s v="Large"/>
    <s v="Art and collections"/>
    <s v="Kannauj"/>
    <x v="4"/>
    <s v="Pending"/>
  </r>
  <r>
    <x v="145"/>
    <d v="2025-01-26T00:00:00"/>
    <s v="C146"/>
    <s v="P146"/>
    <n v="1"/>
    <n v="30000"/>
    <n v="30000"/>
    <n v="0.1"/>
    <n v="3000"/>
    <n v="12000"/>
    <n v="39000"/>
    <n v="9000"/>
    <s v="Ira Chawla"/>
    <s v="Large"/>
    <s v="Electronics"/>
    <s v="Rohtak"/>
    <x v="4"/>
    <s v="Pending"/>
  </r>
  <r>
    <x v="146"/>
    <d v="2025-01-26T00:00:00"/>
    <s v="C147"/>
    <s v="P147"/>
    <n v="3"/>
    <n v="31000"/>
    <n v="93000"/>
    <n v="0.14000000000000001"/>
    <n v="13020.000000000002"/>
    <n v="37200"/>
    <n v="117180"/>
    <n v="24180"/>
    <s v="Shaurya Goyal"/>
    <s v="Industrial"/>
    <s v="Art and collections"/>
    <s v="Sonipat"/>
    <x v="4"/>
    <s v="Pending"/>
  </r>
  <r>
    <x v="147"/>
    <d v="2025-01-26T00:00:00"/>
    <s v="C148"/>
    <s v="P148"/>
    <n v="3"/>
    <n v="32000"/>
    <n v="96000"/>
    <n v="0.25"/>
    <n v="24000"/>
    <n v="38400"/>
    <n v="110400"/>
    <n v="14400"/>
    <s v="Mahi Pillai"/>
    <s v="Industrial"/>
    <s v="Home &amp; décor"/>
    <s v="Vizag"/>
    <x v="4"/>
    <s v="Pending"/>
  </r>
  <r>
    <x v="148"/>
    <d v="2025-01-26T00:00:00"/>
    <s v="C149"/>
    <s v="P149"/>
    <n v="3"/>
    <n v="33000"/>
    <n v="99000"/>
    <n v="0.35"/>
    <n v="34650"/>
    <n v="39600"/>
    <n v="103950"/>
    <n v="4950"/>
    <s v="Parth Tripathi"/>
    <s v="Industrial"/>
    <s v="Art and collections"/>
    <s v="Panipat"/>
    <x v="4"/>
    <s v="Pending"/>
  </r>
  <r>
    <x v="149"/>
    <d v="2025-01-26T00:00:00"/>
    <s v="C150"/>
    <s v="P150"/>
    <n v="3"/>
    <n v="34000"/>
    <n v="102000"/>
    <n v="0.25"/>
    <n v="25500"/>
    <n v="40800"/>
    <n v="117300"/>
    <n v="15300"/>
    <s v="Aanya Bhatt"/>
    <s v="Industrial"/>
    <s v="Art and collections"/>
    <s v="Baghpat"/>
    <x v="4"/>
    <s v="Pending"/>
  </r>
  <r>
    <x v="150"/>
    <d v="2025-01-26T00:00:00"/>
    <s v="C151"/>
    <s v="P151"/>
    <n v="4"/>
    <n v="35000"/>
    <n v="140000"/>
    <n v="0.25"/>
    <n v="35000"/>
    <n v="56000"/>
    <n v="161000"/>
    <n v="21000"/>
    <s v="Aarav Malhotra"/>
    <s v="Wholesale"/>
    <s v="Art and collections"/>
    <s v="ghaziabad"/>
    <x v="0"/>
    <s v="Pending"/>
  </r>
  <r>
    <x v="151"/>
    <d v="2025-01-26T00:00:00"/>
    <s v="C152"/>
    <s v="P152"/>
    <n v="4"/>
    <n v="36000"/>
    <n v="144000"/>
    <n v="0.1"/>
    <n v="14400"/>
    <n v="57600"/>
    <n v="187200"/>
    <n v="43200"/>
    <s v="Aditi Joshi"/>
    <s v="Wholesale"/>
    <s v="Art and collections"/>
    <s v="Delhi"/>
    <x v="0"/>
    <s v="Pending"/>
  </r>
  <r>
    <x v="152"/>
    <d v="2025-01-26T00:00:00"/>
    <s v="C153"/>
    <s v="P153"/>
    <n v="4"/>
    <n v="37000"/>
    <n v="148000"/>
    <n v="0.15"/>
    <n v="22200"/>
    <n v="59200"/>
    <n v="185000"/>
    <n v="37000"/>
    <s v="Arjun Chawla"/>
    <s v="Wholesale"/>
    <s v="Art and collections"/>
    <s v="Mumbai"/>
    <x v="4"/>
    <s v="Pending"/>
  </r>
  <r>
    <x v="153"/>
    <d v="2025-01-26T00:00:00"/>
    <s v="C154"/>
    <s v="P154"/>
    <n v="4"/>
    <n v="38000"/>
    <n v="152000"/>
    <n v="0.1"/>
    <n v="15200"/>
    <n v="60800"/>
    <n v="197600"/>
    <n v="45600"/>
    <s v="Ananya Goyal"/>
    <s v="Wholesale"/>
    <s v="Art and collections"/>
    <s v="Meerut"/>
    <x v="4"/>
    <s v="Pending"/>
  </r>
  <r>
    <x v="154"/>
    <d v="2025-01-26T00:00:00"/>
    <s v="C155"/>
    <s v="P155"/>
    <n v="4"/>
    <n v="39000"/>
    <n v="156000"/>
    <n v="0.13"/>
    <n v="20280"/>
    <n v="62400"/>
    <n v="198120"/>
    <n v="42120"/>
    <s v="Aditya Pillai"/>
    <s v="Wholesale"/>
    <s v="Art and collections"/>
    <s v="Gurugram"/>
    <x v="4"/>
    <s v="Pending"/>
  </r>
  <r>
    <x v="155"/>
    <d v="2025-01-26T00:00:00"/>
    <s v="C156"/>
    <s v="P156"/>
    <n v="4"/>
    <n v="40000"/>
    <n v="160000"/>
    <n v="0.14000000000000001"/>
    <n v="22400.000000000004"/>
    <n v="64000"/>
    <n v="201600"/>
    <n v="41600"/>
    <s v="Ishita Dagar"/>
    <s v="Wholesale"/>
    <s v="Art and collections"/>
    <s v="Rohtak"/>
    <x v="3"/>
    <s v="Pending"/>
  </r>
  <r>
    <x v="156"/>
    <d v="2025-01-26T00:00:00"/>
    <s v="C157"/>
    <s v="P157"/>
    <n v="5"/>
    <n v="41000"/>
    <n v="205000"/>
    <n v="0.16"/>
    <n v="32800"/>
    <n v="82000"/>
    <n v="254200"/>
    <n v="49200"/>
    <s v="Kabir Bhatt"/>
    <s v="Wholesale"/>
    <s v="Art and collections"/>
    <s v="Srinagar"/>
    <x v="4"/>
    <s v="Pending"/>
  </r>
  <r>
    <x v="157"/>
    <d v="2025-01-26T00:00:00"/>
    <s v="C158"/>
    <s v="P158"/>
    <n v="5"/>
    <n v="42000"/>
    <n v="210000"/>
    <n v="0.12"/>
    <n v="25200"/>
    <n v="84000"/>
    <n v="268800"/>
    <n v="58800"/>
    <s v="Meera Kapoor"/>
    <s v="Wholesale"/>
    <s v="Art and collections"/>
    <s v="Srinagar"/>
    <x v="4"/>
    <s v="Pending"/>
  </r>
  <r>
    <x v="158"/>
    <d v="2025-01-26T00:00:00"/>
    <s v="C159"/>
    <s v="P159"/>
    <n v="5"/>
    <n v="43000"/>
    <n v="215000"/>
    <n v="0.11"/>
    <n v="23650"/>
    <n v="86000"/>
    <n v="277350"/>
    <n v="62350"/>
    <s v="Rohan Nair"/>
    <s v="Wholesale"/>
    <s v="Art and collections"/>
    <s v="Vizag"/>
    <x v="0"/>
    <s v="Pending"/>
  </r>
  <r>
    <x v="159"/>
    <d v="2025-01-26T00:00:00"/>
    <s v="C160"/>
    <s v="P160"/>
    <n v="5"/>
    <n v="44000"/>
    <n v="220000"/>
    <n v="0.4"/>
    <n v="88000"/>
    <n v="88000"/>
    <n v="220000"/>
    <n v="0"/>
    <s v="Priya Rao"/>
    <s v="Wholesale"/>
    <s v="Art and collections"/>
    <s v="Faridabad"/>
    <x v="4"/>
    <s v="Pending"/>
  </r>
  <r>
    <x v="160"/>
    <d v="2025-01-26T00:00:00"/>
    <s v="C161"/>
    <s v="P161"/>
    <n v="5"/>
    <n v="45000"/>
    <n v="225000"/>
    <n v="0.4"/>
    <n v="90000"/>
    <n v="90000"/>
    <n v="225000"/>
    <n v="0"/>
    <s v="Rahul Bhatia"/>
    <s v="Wholesale"/>
    <s v="Art and collections"/>
    <s v="Chandigarh"/>
    <x v="0"/>
    <s v="Pending"/>
  </r>
  <r>
    <x v="161"/>
    <d v="2025-01-26T00:00:00"/>
    <s v="C162"/>
    <s v="P162"/>
    <n v="5"/>
    <n v="46000"/>
    <n v="230000"/>
    <n v="0.4"/>
    <n v="92000"/>
    <n v="92000"/>
    <n v="230000"/>
    <n v="0"/>
    <s v="Sneha Menon"/>
    <s v="Wholesale"/>
    <s v="Home &amp; décor"/>
    <s v="Kannauj"/>
    <x v="4"/>
    <s v="Pending"/>
  </r>
  <r>
    <x v="162"/>
    <d v="2025-01-26T00:00:00"/>
    <s v="C163"/>
    <s v="P163"/>
    <n v="5"/>
    <n v="47000"/>
    <n v="235000"/>
    <n v="0.2"/>
    <n v="47000"/>
    <n v="94000"/>
    <n v="282000"/>
    <n v="47000"/>
    <s v="Vihaan Shukla"/>
    <s v="Wholesale"/>
    <s v="Home &amp; décor"/>
    <s v="Faridabad"/>
    <x v="4"/>
    <s v="Pending"/>
  </r>
  <r>
    <x v="163"/>
    <d v="2025-01-27T00:00:00"/>
    <s v="C164"/>
    <s v="P164"/>
    <n v="5"/>
    <n v="48000"/>
    <n v="240000"/>
    <n v="4.4999999999999998E-2"/>
    <n v="10800"/>
    <n v="96000"/>
    <n v="325200"/>
    <n v="85200"/>
    <s v="Diya Ahuja"/>
    <s v="Wholesale"/>
    <s v="Home &amp; décor"/>
    <s v="Chandigarh"/>
    <x v="4"/>
    <s v="Pending"/>
  </r>
  <r>
    <x v="164"/>
    <d v="2025-01-27T00:00:00"/>
    <s v="C165"/>
    <s v="P165"/>
    <n v="5"/>
    <n v="49000"/>
    <n v="245000"/>
    <n v="5.5E-2"/>
    <n v="13475"/>
    <n v="98000"/>
    <n v="329525"/>
    <n v="84525"/>
    <s v="Karan Singh"/>
    <s v="Wholesale"/>
    <s v="Home &amp; décor"/>
    <s v="Gorakhpur"/>
    <x v="4"/>
    <s v="Pending"/>
  </r>
  <r>
    <x v="165"/>
    <d v="2025-01-27T00:00:00"/>
    <s v="C166"/>
    <s v="P166"/>
    <n v="5"/>
    <n v="50000"/>
    <n v="250000"/>
    <n v="0.4"/>
    <n v="100000"/>
    <n v="100000"/>
    <n v="250000"/>
    <n v="0"/>
    <s v="Neha Reddy"/>
    <s v="Wholesale"/>
    <s v="Electronics"/>
    <s v="Bareilly"/>
    <x v="4"/>
    <s v="Pending"/>
  </r>
  <r>
    <x v="166"/>
    <d v="2025-01-27T00:00:00"/>
    <s v="C167"/>
    <s v="P167"/>
    <n v="5"/>
    <n v="51000"/>
    <n v="255000"/>
    <n v="0.1"/>
    <n v="25500"/>
    <n v="102000"/>
    <n v="331500"/>
    <n v="76500"/>
    <s v="Aryan Das"/>
    <s v="Wholesale"/>
    <s v="Electronics"/>
    <s v="Kolkata"/>
    <x v="4"/>
    <s v="Pending"/>
  </r>
  <r>
    <x v="167"/>
    <d v="2025-01-27T00:00:00"/>
    <s v="C168"/>
    <s v="P168"/>
    <n v="6"/>
    <n v="52000"/>
    <n v="312000"/>
    <n v="0.1"/>
    <n v="31200"/>
    <n v="124800"/>
    <n v="405600"/>
    <n v="93600"/>
    <s v="Kavya Arora"/>
    <s v="Wholesale"/>
    <s v="Electronics"/>
    <s v="Gurugram"/>
    <x v="4"/>
    <s v="Pending"/>
  </r>
  <r>
    <x v="168"/>
    <d v="2025-01-27T00:00:00"/>
    <s v="C169"/>
    <s v="P169"/>
    <n v="6"/>
    <n v="53000"/>
    <n v="318000"/>
    <n v="0.13"/>
    <n v="41340"/>
    <n v="127200"/>
    <n v="403860"/>
    <n v="85860"/>
    <s v="Yash Desai"/>
    <s v="Wholesale"/>
    <s v="Electronics"/>
    <s v="Gorakhpur"/>
    <x v="4"/>
    <s v="Pending"/>
  </r>
  <r>
    <x v="169"/>
    <d v="2025-01-27T00:00:00"/>
    <s v="C170"/>
    <s v="P170"/>
    <n v="7"/>
    <n v="54000"/>
    <n v="378000"/>
    <n v="0.08"/>
    <n v="30240"/>
    <n v="151200"/>
    <n v="498960"/>
    <n v="120960"/>
    <s v="Riya Thakur"/>
    <s v="Wholesale"/>
    <s v="Electronics"/>
    <s v="Lucknow"/>
    <x v="4"/>
    <s v="Pending"/>
  </r>
  <r>
    <x v="170"/>
    <d v="2025-01-27T00:00:00"/>
    <s v="C171"/>
    <s v="P171"/>
    <n v="6"/>
    <n v="55000"/>
    <n v="330000"/>
    <n v="0.04"/>
    <n v="13200"/>
    <n v="132000"/>
    <n v="448800"/>
    <n v="118800"/>
    <s v="Dev Kohli"/>
    <s v="Wholesale"/>
    <s v="Sports &amp; Fitness"/>
    <s v="Faridabad"/>
    <x v="4"/>
    <s v="Pending"/>
  </r>
  <r>
    <x v="171"/>
    <d v="2025-01-27T00:00:00"/>
    <s v="C172"/>
    <s v="P172"/>
    <n v="5"/>
    <n v="56000"/>
    <n v="280000"/>
    <n v="0.05"/>
    <n v="14000"/>
    <n v="112000"/>
    <n v="378000"/>
    <n v="98000"/>
    <s v="Nishant Nagar"/>
    <s v="Wholesale"/>
    <s v="Automotive"/>
    <s v="Baghpat"/>
    <x v="4"/>
    <s v="Pending"/>
  </r>
  <r>
    <x v="172"/>
    <d v="2025-01-27T00:00:00"/>
    <s v="C173"/>
    <s v="P173"/>
    <n v="4"/>
    <n v="57000"/>
    <n v="228000"/>
    <n v="0.1"/>
    <n v="22800"/>
    <n v="91200"/>
    <n v="296400"/>
    <n v="68400"/>
    <s v="Siddharth Patel"/>
    <s v="Wholesale"/>
    <s v="Electronics"/>
    <s v="Surat"/>
    <x v="4"/>
    <s v="Pending"/>
  </r>
  <r>
    <x v="173"/>
    <d v="2025-01-27T00:00:00"/>
    <s v="C174"/>
    <s v="P174"/>
    <n v="3"/>
    <n v="58000"/>
    <n v="174000"/>
    <n v="0.12"/>
    <n v="20880"/>
    <n v="69600"/>
    <n v="222720"/>
    <n v="48720"/>
    <s v="Pooja Khanna"/>
    <s v="Wholesale"/>
    <s v="Home &amp; décor"/>
    <s v="Delhi"/>
    <x v="4"/>
    <s v="Pending"/>
  </r>
  <r>
    <x v="174"/>
    <d v="2025-01-28T00:00:00"/>
    <s v="C175"/>
    <s v="P175"/>
    <n v="2"/>
    <n v="59000"/>
    <n v="118000"/>
    <n v="0.13"/>
    <n v="15340"/>
    <n v="47200"/>
    <n v="149860"/>
    <n v="31860"/>
    <s v="Varun Khanna"/>
    <s v="Wholesale"/>
    <s v="Home &amp; décor"/>
    <s v="Delhi"/>
    <x v="4"/>
    <s v="Pending"/>
  </r>
  <r>
    <x v="175"/>
    <d v="2025-01-28T00:00:00"/>
    <s v="C176"/>
    <s v="P176"/>
    <n v="1"/>
    <n v="60000"/>
    <n v="60000"/>
    <n v="0.15"/>
    <n v="9000"/>
    <n v="24000"/>
    <n v="75000"/>
    <n v="15000"/>
    <s v="Simran Kulkarni"/>
    <s v="Large"/>
    <s v="Electronics"/>
    <s v="Nashik"/>
    <x v="4"/>
    <s v="Pending"/>
  </r>
  <r>
    <x v="176"/>
    <d v="2025-01-28T00:00:00"/>
    <s v="C177"/>
    <s v="P177"/>
    <n v="2"/>
    <n v="61000"/>
    <n v="122000"/>
    <n v="0.2"/>
    <n v="24400"/>
    <n v="48800"/>
    <n v="146400"/>
    <n v="24400"/>
    <s v="Aniket Yadav"/>
    <s v="Wholesale"/>
    <s v="Art and collections"/>
    <s v="Vadodra"/>
    <x v="4"/>
    <s v="Pending"/>
  </r>
  <r>
    <x v="177"/>
    <d v="2025-01-28T00:00:00"/>
    <s v="C178"/>
    <s v="P178"/>
    <n v="1"/>
    <n v="62000"/>
    <n v="62000"/>
    <n v="0.2"/>
    <n v="12400"/>
    <n v="24800"/>
    <n v="74400"/>
    <n v="12400"/>
    <s v="Tanvi Mathur"/>
    <s v="Large"/>
    <s v="Automotive"/>
    <s v="Nangloi"/>
    <x v="4"/>
    <s v="Pending"/>
  </r>
  <r>
    <x v="178"/>
    <d v="2025-01-28T00:00:00"/>
    <s v="C179"/>
    <s v="P179"/>
    <n v="1"/>
    <n v="63000"/>
    <n v="63000"/>
    <n v="0.1"/>
    <n v="6300"/>
    <n v="25200"/>
    <n v="81900"/>
    <n v="18900"/>
    <s v="Manav Gupta"/>
    <s v="Large"/>
    <s v="Art and collections"/>
    <s v="Delhi"/>
    <x v="4"/>
    <s v="Pending"/>
  </r>
  <r>
    <x v="179"/>
    <d v="2025-01-28T00:00:00"/>
    <s v="C180"/>
    <s v="P180"/>
    <n v="1"/>
    <n v="64000"/>
    <n v="64000"/>
    <n v="0.1"/>
    <n v="6400"/>
    <n v="25600"/>
    <n v="83200"/>
    <n v="19200"/>
    <s v="Shreya Iyer"/>
    <s v="Large"/>
    <s v="Art and collections"/>
    <s v="Vizag"/>
    <x v="4"/>
    <s v="Pending"/>
  </r>
  <r>
    <x v="180"/>
    <d v="2025-01-28T00:00:00"/>
    <s v="C181"/>
    <s v="P181"/>
    <n v="1"/>
    <n v="65000"/>
    <n v="65000"/>
    <n v="0.15"/>
    <n v="9750"/>
    <n v="26000"/>
    <n v="81250"/>
    <n v="16250"/>
    <s v="Vivaan Mishra"/>
    <s v="Large"/>
    <s v="Art and collections"/>
    <s v="Kannauj"/>
    <x v="4"/>
    <s v="Pending"/>
  </r>
  <r>
    <x v="181"/>
    <d v="2025-01-28T00:00:00"/>
    <s v="C182"/>
    <s v="P182"/>
    <n v="1"/>
    <n v="66000"/>
    <n v="66000"/>
    <n v="0.25"/>
    <n v="16500"/>
    <n v="26400"/>
    <n v="75900"/>
    <n v="9900"/>
    <s v="Avni Pandey"/>
    <s v="Large"/>
    <s v="Art and collections"/>
    <s v="Varanasi"/>
    <x v="0"/>
    <s v="Pending"/>
  </r>
  <r>
    <x v="182"/>
    <d v="2025-01-28T00:00:00"/>
    <s v="C183"/>
    <s v="P183"/>
    <n v="1"/>
    <n v="67000"/>
    <n v="67000"/>
    <n v="0.1"/>
    <n v="6700"/>
    <n v="26800"/>
    <n v="87100"/>
    <n v="20100"/>
    <s v="Reyansh Srivastava"/>
    <s v="Large"/>
    <s v="Art and collections"/>
    <s v="Ayodhya"/>
    <x v="0"/>
    <s v="Pending"/>
  </r>
  <r>
    <x v="183"/>
    <d v="2025-01-29T00:00:00"/>
    <s v="C184"/>
    <s v="P184"/>
    <n v="1"/>
    <n v="68000"/>
    <n v="68000"/>
    <n v="0.1"/>
    <n v="6800"/>
    <n v="27200"/>
    <n v="88400"/>
    <n v="20400"/>
    <s v="Myra Dutta"/>
    <s v="Large"/>
    <s v="Art and collections"/>
    <s v="Gorakhpur"/>
    <x v="0"/>
    <s v="Pending"/>
  </r>
  <r>
    <x v="184"/>
    <d v="2025-01-29T00:00:00"/>
    <s v="C185"/>
    <s v="P185"/>
    <n v="1"/>
    <n v="69000"/>
    <n v="69000"/>
    <n v="0.05"/>
    <n v="3450"/>
    <n v="27600"/>
    <n v="93150"/>
    <n v="24150"/>
    <s v="Krish Sood"/>
    <s v="Large"/>
    <s v="Art and collections"/>
    <s v="Amritsar"/>
    <x v="0"/>
    <s v="Pending"/>
  </r>
  <r>
    <x v="185"/>
    <d v="2025-01-29T00:00:00"/>
    <s v="C186"/>
    <s v="P186"/>
    <n v="1"/>
    <n v="70000"/>
    <n v="70000"/>
    <n v="0.1"/>
    <n v="7000"/>
    <n v="28000"/>
    <n v="91000"/>
    <n v="21000"/>
    <s v="Kiara Verma"/>
    <s v="Large"/>
    <s v="Furniture"/>
    <s v="Panipat"/>
    <x v="4"/>
    <s v="Pending"/>
  </r>
  <r>
    <x v="186"/>
    <d v="2025-01-29T00:00:00"/>
    <s v="C187"/>
    <s v="P187"/>
    <n v="1"/>
    <n v="71000"/>
    <n v="71000"/>
    <n v="0.05"/>
    <n v="3550"/>
    <n v="28400"/>
    <n v="95850"/>
    <n v="24850"/>
    <s v="Atharv Agarwal"/>
    <s v="Large"/>
    <s v="Sports &amp; Fitness"/>
    <s v="Sonipat"/>
    <x v="4"/>
    <s v="Pending"/>
  </r>
  <r>
    <x v="187"/>
    <d v="2025-01-29T00:00:00"/>
    <s v="C188"/>
    <s v="P188"/>
    <n v="1"/>
    <n v="72000"/>
    <n v="72000"/>
    <n v="0.12"/>
    <n v="8640"/>
    <n v="28800"/>
    <n v="92160"/>
    <n v="20160"/>
    <s v="Anika Saxena"/>
    <s v="Large"/>
    <s v="Electronics"/>
    <s v="Gurugram"/>
    <x v="4"/>
    <s v="Pending"/>
  </r>
  <r>
    <x v="188"/>
    <d v="2025-01-29T00:00:00"/>
    <s v="C189"/>
    <s v="P189"/>
    <n v="1"/>
    <n v="73000"/>
    <n v="73000"/>
    <n v="0.15"/>
    <n v="10950"/>
    <n v="29200"/>
    <n v="91250"/>
    <n v="18250"/>
    <s v="Dhruv Tiwari"/>
    <s v="Large"/>
    <s v="Electronics"/>
    <s v="Baghpat"/>
    <x v="4"/>
    <s v="Pending"/>
  </r>
  <r>
    <x v="189"/>
    <d v="2025-01-29T00:00:00"/>
    <s v="C190"/>
    <s v="P190"/>
    <n v="1"/>
    <n v="74000"/>
    <n v="74000"/>
    <n v="0.12"/>
    <n v="8880"/>
    <n v="29600"/>
    <n v="94720"/>
    <n v="20720"/>
    <s v="Saanvi Sinha"/>
    <s v="Large"/>
    <s v="Electronics"/>
    <s v="Kanpur"/>
    <x v="4"/>
    <s v="Pending"/>
  </r>
  <r>
    <x v="190"/>
    <d v="2025-01-30T00:00:00"/>
    <s v="C191"/>
    <s v="P191"/>
    <n v="1"/>
    <n v="75000"/>
    <n v="75000"/>
    <n v="0.15"/>
    <n v="11250"/>
    <n v="30000"/>
    <n v="93750"/>
    <n v="18750"/>
    <s v="Rudra Banerjee"/>
    <s v="Large"/>
    <s v="Electronics"/>
    <s v="Kolkata"/>
    <x v="4"/>
    <s v="Pending"/>
  </r>
  <r>
    <x v="191"/>
    <d v="2025-01-30T00:00:00"/>
    <s v="C192"/>
    <s v="P192"/>
    <n v="1"/>
    <n v="76000"/>
    <n v="76000"/>
    <n v="0.15"/>
    <n v="11400"/>
    <n v="30400"/>
    <n v="95000"/>
    <n v="19000"/>
    <s v="Navya Vohra"/>
    <s v="Large"/>
    <s v="Electronics"/>
    <s v="Hampi"/>
    <x v="4"/>
    <s v="Pending"/>
  </r>
  <r>
    <x v="192"/>
    <d v="2025-01-30T00:00:00"/>
    <s v="C193"/>
    <s v="P193"/>
    <n v="1"/>
    <n v="77000"/>
    <n v="77000"/>
    <n v="0.156"/>
    <n v="12012"/>
    <n v="30800"/>
    <n v="95788"/>
    <n v="18788"/>
    <s v="Ayush Sharma"/>
    <s v="Large"/>
    <s v="Electronics"/>
    <s v="Gurugram"/>
    <x v="4"/>
    <s v="Pending"/>
  </r>
  <r>
    <x v="193"/>
    <d v="2025-01-30T00:00:00"/>
    <s v="C194"/>
    <s v="P194"/>
    <n v="1"/>
    <n v="78000"/>
    <n v="78000"/>
    <n v="0.16200000000000001"/>
    <n v="12636"/>
    <n v="31200"/>
    <n v="96564"/>
    <n v="18564"/>
    <s v="Tanya Bansal"/>
    <s v="Large"/>
    <s v="Electronics"/>
    <s v="Noida"/>
    <x v="4"/>
    <s v="Pending"/>
  </r>
  <r>
    <x v="194"/>
    <d v="2025-01-30T00:00:00"/>
    <s v="C195"/>
    <s v="P195"/>
    <n v="1"/>
    <n v="79000"/>
    <n v="79000"/>
    <n v="0.16800000000000001"/>
    <n v="13272"/>
    <n v="31600"/>
    <n v="97328"/>
    <n v="18328"/>
    <s v="Arnav Chopra"/>
    <s v="Large"/>
    <s v="Electronics"/>
    <s v="Delhi"/>
    <x v="4"/>
    <s v="Pending"/>
  </r>
  <r>
    <x v="195"/>
    <d v="2025-01-30T00:00:00"/>
    <s v="C196"/>
    <s v="P196"/>
    <n v="1"/>
    <n v="80000"/>
    <n v="80000"/>
    <n v="0.17399999999999999"/>
    <n v="13919.999999999998"/>
    <n v="32000"/>
    <n v="98080"/>
    <n v="18080"/>
    <s v="Ira Sethi"/>
    <s v="Large"/>
    <s v="Electronics"/>
    <s v="Noida"/>
    <x v="0"/>
    <s v="Pending"/>
  </r>
  <r>
    <x v="196"/>
    <d v="2025-01-31T00:00:00"/>
    <s v="C197"/>
    <s v="P197"/>
    <n v="1"/>
    <n v="81000"/>
    <n v="81000"/>
    <n v="0.18"/>
    <n v="14580"/>
    <n v="32400"/>
    <n v="98820"/>
    <n v="17820"/>
    <s v="Shaurya Jain"/>
    <s v="Large"/>
    <s v="Electronics"/>
    <s v="Delhi"/>
    <x v="4"/>
    <s v="Pending"/>
  </r>
  <r>
    <x v="197"/>
    <d v="2025-01-31T00:00:00"/>
    <s v="C198"/>
    <s v="P198"/>
    <n v="1"/>
    <n v="82000"/>
    <n v="82000"/>
    <n v="0.186"/>
    <n v="15252"/>
    <n v="32800"/>
    <n v="99548"/>
    <n v="17548"/>
    <s v="Mahi Mukherjee"/>
    <s v="Large"/>
    <s v="Electronics"/>
    <s v="Gurugram"/>
    <x v="4"/>
    <s v="Pending"/>
  </r>
  <r>
    <x v="198"/>
    <d v="2025-01-31T00:00:00"/>
    <s v="C199"/>
    <s v="P199"/>
    <n v="1"/>
    <n v="83000"/>
    <n v="83000"/>
    <n v="0.192"/>
    <n v="15936"/>
    <n v="33200"/>
    <n v="100264"/>
    <n v="17264"/>
    <s v="Parth Dubey"/>
    <s v="Industrial"/>
    <s v="Electronics"/>
    <s v="Gurugram"/>
    <x v="4"/>
    <s v="Pending"/>
  </r>
  <r>
    <x v="199"/>
    <d v="2025-01-31T00:00:00"/>
    <s v="C200"/>
    <s v="P200"/>
    <n v="1"/>
    <n v="84000"/>
    <n v="84000"/>
    <n v="0.01"/>
    <n v="840"/>
    <n v="33600"/>
    <n v="116760"/>
    <n v="32760"/>
    <s v="Aanya Naidu"/>
    <s v="Industrial"/>
    <s v="Electronics"/>
    <s v="Surat"/>
    <x v="4"/>
    <s v="Pending"/>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C001"/>
    <s v="P001"/>
    <s v="cartons of reynolds pens"/>
    <s v="Books &amp; Stationeries"/>
    <n v="4"/>
    <n v="4674.7999999999993"/>
    <s v="Aarav Mehta"/>
    <s v="Agartala"/>
    <s v="Tripura"/>
    <n v="21"/>
    <x v="0"/>
    <s v="Delivered"/>
    <s v="Credit Card"/>
  </r>
  <r>
    <s v="C002"/>
    <s v="P002"/>
    <s v="cartons of Uniball pens"/>
    <s v="Books &amp; Stationeries"/>
    <n v="5"/>
    <n v="4478.1000000000004"/>
    <s v="Aditi Patel"/>
    <s v="Agra"/>
    <s v="Uttar Pradesh"/>
    <n v="22"/>
    <x v="0"/>
    <s v="Delivered"/>
    <s v="UPI"/>
  </r>
  <r>
    <s v="C003"/>
    <s v="P003"/>
    <s v="cartons of flair easy click ballpoint pens"/>
    <s v="Books &amp; Stationeries"/>
    <n v="6"/>
    <n v="1050"/>
    <s v="Arjun Khanna"/>
    <s v="Ahmedabad"/>
    <s v="Gujrat"/>
    <n v="21"/>
    <x v="0"/>
    <s v="Delivered"/>
    <s v="Cash on delivery"/>
  </r>
  <r>
    <s v="C004"/>
    <s v="P004"/>
    <s v="cartons of hauser easy click ballpoint pens"/>
    <s v="Books &amp; Stationeries"/>
    <n v="7"/>
    <n v="1950.2"/>
    <s v="Ananya Khanna"/>
    <s v="Aizawl"/>
    <s v="Mizoram"/>
    <n v="19"/>
    <x v="0"/>
    <s v="Delivered"/>
    <s v="Cash on delivery"/>
  </r>
  <r>
    <s v="C005"/>
    <s v="P005"/>
    <s v="packet of Godrej Hair color"/>
    <s v="Cosmetics"/>
    <n v="2"/>
    <n v="2250"/>
    <s v="Aditya Kulkarni"/>
    <s v="Ajmer"/>
    <s v="Rajasthan"/>
    <n v="29"/>
    <x v="1"/>
    <s v="Delivered"/>
    <s v="Cash on delivery"/>
  </r>
  <r>
    <s v="C006"/>
    <s v="P006"/>
    <s v="Atta Cookies"/>
    <s v="Confectionaries"/>
    <n v="3"/>
    <n v="4500"/>
    <s v="Ishita Yadav"/>
    <s v="Aligarh "/>
    <s v="Uttar Pradesh"/>
    <n v="34"/>
    <x v="1"/>
    <s v="Delivered"/>
    <s v="Cash on delivery"/>
  </r>
  <r>
    <s v="C007"/>
    <s v="P007"/>
    <s v="Mobile Accessories"/>
    <s v="Electronics"/>
    <n v="4"/>
    <n v="4000"/>
    <s v="Kabir Mathur"/>
    <s v="Amravati"/>
    <s v="Andhra Pradesh"/>
    <n v="35"/>
    <x v="1"/>
    <s v="Delivered"/>
    <s v="Cash on delivery"/>
  </r>
  <r>
    <s v="C008"/>
    <s v="P008"/>
    <s v="Oswal Sample paper books 12th class "/>
    <s v="Books &amp; Stationeries"/>
    <n v="5"/>
    <n v="4375"/>
    <s v="Meera Gupta"/>
    <s v="Amritsar"/>
    <s v="Punjab"/>
    <n v="17"/>
    <x v="0"/>
    <s v="Delivered"/>
    <s v="Cash on delivery"/>
  </r>
  <r>
    <s v="C009"/>
    <s v="P009"/>
    <s v="Oswal Sample paper books 10th class "/>
    <s v="Books &amp; Stationeries"/>
    <n v="1"/>
    <n v="750"/>
    <s v="Rohan Iyer"/>
    <s v="Aurangabad"/>
    <s v="Maharashtra"/>
    <n v="16"/>
    <x v="0"/>
    <s v="Delivered"/>
    <s v="Cash on delivery"/>
  </r>
  <r>
    <s v="C010"/>
    <s v="P010"/>
    <s v="Lego set buy 2 get 1 free "/>
    <s v="Toys"/>
    <n v="3"/>
    <n v="11250"/>
    <s v="Priya Mishra"/>
    <s v="Bangalore"/>
    <s v="Karnataka"/>
    <n v="17"/>
    <x v="0"/>
    <s v="Delivered"/>
    <s v="Cash on delivery"/>
  </r>
  <r>
    <s v="C011"/>
    <s v="P011"/>
    <s v="packet of Kashmiri Walnuts"/>
    <s v="Dry Fruits"/>
    <n v="5"/>
    <n v="15000"/>
    <s v="Rahul Pandey"/>
    <s v="Bareilly"/>
    <s v="Uttar Pradesh"/>
    <n v="27"/>
    <x v="1"/>
    <s v="Pending"/>
    <s v="Credit Card"/>
  </r>
  <r>
    <s v="C012"/>
    <s v="P012"/>
    <s v="dryfruit Container Set"/>
    <s v="Home and kitchen"/>
    <n v="7"/>
    <n v="19320"/>
    <s v="Sneha Srivastava"/>
    <s v="Chandigarh"/>
    <s v="Punjab"/>
    <n v="32"/>
    <x v="1"/>
    <s v="Delivered"/>
    <s v="Credit Card"/>
  </r>
  <r>
    <s v="C013"/>
    <s v="P013"/>
    <s v="cuttlery items"/>
    <s v="Home and kitchen"/>
    <n v="9"/>
    <n v="22680"/>
    <s v="Vihaan Dutta"/>
    <s v="Chennai"/>
    <s v="Tamil Nadu"/>
    <n v="37"/>
    <x v="1"/>
    <s v="Pending"/>
    <s v="Credit Card"/>
  </r>
  <r>
    <s v="C014"/>
    <s v="P014"/>
    <s v="Diet coke can carton"/>
    <s v="Beverages"/>
    <n v="11"/>
    <n v="25080"/>
    <s v="Diya Sood"/>
    <s v="Coimbatore"/>
    <s v="Tamil Nadu"/>
    <n v="41"/>
    <x v="1"/>
    <s v="Pending"/>
    <s v="Credit Card"/>
  </r>
  <r>
    <s v="C015"/>
    <s v="P015"/>
    <s v="Pepsi can carton"/>
    <s v="Beverages"/>
    <n v="13"/>
    <n v="3900"/>
    <s v="Karan Verma"/>
    <s v="Dehradun"/>
    <s v="Uttarakhand"/>
    <n v="45"/>
    <x v="1"/>
    <s v="Delivered"/>
    <s v="Credit Card"/>
  </r>
  <r>
    <s v="C016"/>
    <s v="P016"/>
    <s v="Mountain Dew can carton"/>
    <s v="Beverages"/>
    <n v="15"/>
    <n v="23400"/>
    <s v="Neha Agarwal"/>
    <s v="Dharamshala"/>
    <s v="Himachal Pradesh"/>
    <n v="43"/>
    <x v="1"/>
    <s v="Pending"/>
    <s v="Credit Card"/>
  </r>
  <r>
    <s v="C017"/>
    <s v="P017"/>
    <s v="Thumsup can carton"/>
    <s v="Beverages"/>
    <n v="17"/>
    <n v="63240"/>
    <s v="Aryan Saxena"/>
    <s v="Faridabad"/>
    <s v="Haryana"/>
    <n v="41"/>
    <x v="1"/>
    <s v="Delivered"/>
    <s v="Credit Card"/>
  </r>
  <r>
    <s v="C018"/>
    <s v="P018"/>
    <s v="Antique Lion Statue"/>
    <s v="Art and collections"/>
    <n v="19"/>
    <n v="27360"/>
    <s v="Kavya Tiwari"/>
    <s v="Kanpur"/>
    <s v="Uttar Pradesh"/>
    <n v="57"/>
    <x v="1"/>
    <s v="Pending"/>
    <s v="Credit Card"/>
  </r>
  <r>
    <s v="C019"/>
    <s v="P019"/>
    <s v="Apparel Merchandises"/>
    <s v="Apparel"/>
    <n v="21"/>
    <n v="27720"/>
    <s v="Yash Sinha"/>
    <s v="Gurugram"/>
    <s v="Haryana"/>
    <n v="43"/>
    <x v="1"/>
    <s v="Pending"/>
    <s v="Credit Card"/>
  </r>
  <r>
    <s v="C020"/>
    <s v="P020"/>
    <s v="Automobile Accessories"/>
    <s v="Automotive"/>
    <n v="5"/>
    <n v="13000"/>
    <s v="Riya Banerjee"/>
    <s v="Kolkata"/>
    <s v="West Bengal"/>
    <n v="26"/>
    <x v="1"/>
    <s v="Pending"/>
    <s v="Credit Card"/>
  </r>
  <r>
    <s v="C021"/>
    <s v="P021"/>
    <s v="Water Taps"/>
    <s v="Hardware"/>
    <n v="3"/>
    <n v="12150"/>
    <s v="Dev Vohra"/>
    <s v="Amravati"/>
    <s v="Andhra Pradesh"/>
    <n v="37"/>
    <x v="1"/>
    <s v="Delivered"/>
    <s v="Buy Now Pay later"/>
  </r>
  <r>
    <s v="C022"/>
    <s v="P022"/>
    <s v="Redmi Note 4 Mobile Cover"/>
    <s v="Electronics"/>
    <n v="2"/>
    <n v="560"/>
    <s v="Nisha Sharma"/>
    <s v="Rohtak"/>
    <s v="Haryana"/>
    <n v="19"/>
    <x v="0"/>
    <s v="Delivered"/>
    <s v="Cash on delivery"/>
  </r>
  <r>
    <s v="C023"/>
    <s v="P023"/>
    <s v="Micromax Smartphone"/>
    <s v="Electronics"/>
    <n v="1"/>
    <n v="10560"/>
    <s v="Siddharth Bansal"/>
    <s v="Jind"/>
    <s v="Haryana"/>
    <n v="25"/>
    <x v="0"/>
    <s v="Pending"/>
    <s v="Credit Card"/>
  </r>
  <r>
    <s v="C024"/>
    <s v="P024"/>
    <s v="Laptop Charger"/>
    <s v="Electronics"/>
    <n v="4"/>
    <n v="6900"/>
    <s v="Pooja Chopra"/>
    <s v="Rohtak"/>
    <s v="Haryana"/>
    <n v="45"/>
    <x v="1"/>
    <s v="Pending"/>
    <s v="Cash on delivery"/>
  </r>
  <r>
    <s v="C025"/>
    <s v="P025"/>
    <s v=" Painting"/>
    <s v="Art and collections"/>
    <n v="2"/>
    <n v="8100"/>
    <s v="Varun Sethi"/>
    <s v="Gurugram"/>
    <s v="Haryana"/>
    <n v="36"/>
    <x v="1"/>
    <s v="Pending"/>
    <s v="Credit Card"/>
  </r>
  <r>
    <s v="C026"/>
    <s v="P026"/>
    <s v="cuttlery items"/>
    <s v="Home and kitchen"/>
    <n v="4"/>
    <n v="20800"/>
    <s v="Simran Jain"/>
    <s v="Faridabad"/>
    <s v="Haryana"/>
    <n v="32"/>
    <x v="1"/>
    <s v="Pending"/>
    <s v="Buy Now Pay later"/>
  </r>
  <r>
    <s v="C027"/>
    <s v="P027"/>
    <s v="Cricket kit SG"/>
    <s v="Sports &amp; Fitness"/>
    <n v="2"/>
    <n v="14000"/>
    <s v="Aniket Mukherjee"/>
    <s v="Gurugram"/>
    <s v="Haryana"/>
    <n v="17"/>
    <x v="0"/>
    <s v="Delivered"/>
    <s v="Credit Card"/>
  </r>
  <r>
    <s v="C028"/>
    <s v="P028"/>
    <s v="Lego Star wars set"/>
    <s v="Toys"/>
    <n v="6"/>
    <n v="41400"/>
    <s v="Tanvi Dubey"/>
    <s v="Gurugram"/>
    <s v="Haryana"/>
    <n v="16"/>
    <x v="0"/>
    <s v="Delivered"/>
    <s v="EMI "/>
  </r>
  <r>
    <s v="C029"/>
    <s v="P029"/>
    <s v="Ikea Tables"/>
    <s v="Furniture"/>
    <n v="3"/>
    <n v="46800"/>
    <s v="Manav Naidu"/>
    <s v="Bangalore"/>
    <s v="Karnataka"/>
    <n v="39"/>
    <x v="1"/>
    <s v="Pending"/>
    <s v="Buy Now Pay later"/>
  </r>
  <r>
    <s v="C030"/>
    <s v="P030"/>
    <s v="Hair Care kit for women"/>
    <s v="Cosmetics"/>
    <n v="2"/>
    <n v="34500"/>
    <s v="Shreya Malhotra"/>
    <s v="Bangalore"/>
    <s v="Karnataka"/>
    <n v="29"/>
    <x v="1"/>
    <s v="Pending"/>
    <s v="EMI "/>
  </r>
  <r>
    <s v="C031"/>
    <s v="P031"/>
    <s v="Nothing Phone 3A"/>
    <s v="Electronics"/>
    <n v="1"/>
    <n v="35650"/>
    <s v="Vivaan Joshi"/>
    <s v="Delhi"/>
    <s v="Delhi"/>
    <n v="31"/>
    <x v="1"/>
    <s v="Pending"/>
    <s v="EMI "/>
  </r>
  <r>
    <s v="C032"/>
    <s v="P032"/>
    <s v="Colgate Toothpaste"/>
    <s v="Health &amp; Beauty"/>
    <n v="7"/>
    <n v="6615"/>
    <s v="Avni Chawla"/>
    <s v="Delhi"/>
    <s v="Delhi"/>
    <n v="26"/>
    <x v="1"/>
    <s v="Delivered"/>
    <s v="Cash on delivery"/>
  </r>
  <r>
    <s v="C033"/>
    <s v="P033"/>
    <s v="JBL Bluetooth Airpods"/>
    <s v="Electronics"/>
    <n v="8"/>
    <n v="10800"/>
    <s v="Reyansh Goyal"/>
    <s v="Delhi"/>
    <s v="Delhi"/>
    <n v="31"/>
    <x v="1"/>
    <s v="Delivered"/>
    <s v="Credit Card"/>
  </r>
  <r>
    <s v="C034"/>
    <s v="P034"/>
    <s v="Boat Earphones"/>
    <s v="Electronics"/>
    <n v="9"/>
    <n v="11340"/>
    <s v="Myra Pillai"/>
    <s v="Delhi"/>
    <s v="Delhi"/>
    <n v="42"/>
    <x v="1"/>
    <s v="Pending"/>
    <s v="Credit Card"/>
  </r>
  <r>
    <s v="C035"/>
    <s v="P035"/>
    <s v="Redmi Note 4 smartphone"/>
    <s v="Electronics"/>
    <n v="10"/>
    <n v="125000"/>
    <s v="Krish Tripathi"/>
    <s v="Delhi"/>
    <s v="Delhi"/>
    <n v="52"/>
    <x v="1"/>
    <s v="Pending"/>
    <s v="Credit Card"/>
  </r>
  <r>
    <s v="C036"/>
    <s v="P036"/>
    <s v="Jaldhera Water meters"/>
    <s v="Hardware"/>
    <n v="11"/>
    <n v="17160"/>
    <s v="Kiara Bhatt"/>
    <s v="Delhi"/>
    <s v="Delhi"/>
    <n v="37"/>
    <x v="1"/>
    <s v="Pending"/>
    <s v="Credit Card"/>
  </r>
  <r>
    <s v="C037"/>
    <s v="P037"/>
    <s v="Kranti Water meters"/>
    <s v="Hardware"/>
    <n v="12"/>
    <n v="36864"/>
    <s v="Atharv Kapoor"/>
    <s v="Delhi"/>
    <s v="Delhi"/>
    <n v="34"/>
    <x v="1"/>
    <s v="Delivered"/>
    <s v="Credit Card"/>
  </r>
  <r>
    <s v="C038"/>
    <s v="P038"/>
    <s v="Boat rockerz Bluetooth headbands"/>
    <s v="Electronics"/>
    <n v="13"/>
    <n v="42588"/>
    <s v="Anika Nair"/>
    <s v="Delhi"/>
    <s v="Delhi"/>
    <n v="38"/>
    <x v="1"/>
    <s v="Delivered"/>
    <s v="Credit Card"/>
  </r>
  <r>
    <s v="C039"/>
    <s v="P039"/>
    <s v="Milton Thermo Flask Water bottles cartons"/>
    <s v="Drinkware"/>
    <n v="14"/>
    <n v="48608"/>
    <s v="Dhruv Rao"/>
    <s v="Delhi"/>
    <s v="Delhi"/>
    <n v="54"/>
    <x v="1"/>
    <s v="Delivered"/>
    <s v="Credit Card"/>
  </r>
  <r>
    <s v="C040"/>
    <s v="P040"/>
    <s v="7up cold drink cartons"/>
    <s v="Beverages"/>
    <n v="11"/>
    <n v="16802.5"/>
    <s v="Saanvi Bhatia"/>
    <s v="Delhi"/>
    <s v="Delhi"/>
    <n v="41"/>
    <x v="1"/>
    <s v="Delivered"/>
    <s v="Credit Card"/>
  </r>
  <r>
    <s v="C041"/>
    <s v="P041"/>
    <s v="Ikea Furniture Set"/>
    <s v="Furniture"/>
    <n v="1"/>
    <n v="51750"/>
    <s v="Rudra Menon"/>
    <s v="Delhi"/>
    <s v="Delhi"/>
    <n v="30"/>
    <x v="1"/>
    <s v="Delivered"/>
    <s v="Credit Card"/>
  </r>
  <r>
    <s v="C042"/>
    <s v="P042"/>
    <s v="Cooking set"/>
    <s v="Home and kitchen"/>
    <n v="2"/>
    <n v="161000"/>
    <s v="Navya Shukla"/>
    <s v="Gurugram"/>
    <s v="Haryana"/>
    <n v="24"/>
    <x v="0"/>
    <s v="Delivered"/>
    <s v="EMI "/>
  </r>
  <r>
    <s v="C043"/>
    <s v="P043"/>
    <s v="Crockery set"/>
    <s v="Home and kitchen"/>
    <n v="3"/>
    <n v="50700"/>
    <s v="Ayush Ahuja"/>
    <s v="Gurugram"/>
    <s v="Haryana"/>
    <n v="25"/>
    <x v="0"/>
    <s v="Delivered"/>
    <s v="No Cost EMI"/>
  </r>
  <r>
    <s v="C044"/>
    <s v="P044"/>
    <s v="gaming mouse "/>
    <s v="Electronics"/>
    <n v="14"/>
    <n v="245000"/>
    <s v="Tanya Singh"/>
    <s v="Gurugram"/>
    <s v="Haryana"/>
    <n v="27"/>
    <x v="1"/>
    <s v="Delivered"/>
    <s v="Credit Card"/>
  </r>
  <r>
    <s v="C045"/>
    <s v="P045"/>
    <s v="Realme P4"/>
    <s v="Electronics"/>
    <n v="10"/>
    <n v="300000"/>
    <s v="Arnav Reddy"/>
    <s v="Gurugram"/>
    <s v="Haryana"/>
    <n v="29"/>
    <x v="1"/>
    <s v="Delivered"/>
    <s v="Credit Card"/>
  </r>
  <r>
    <s v="C046"/>
    <s v="P046"/>
    <s v="Mobile Accessories"/>
    <s v="Electronics"/>
    <n v="9"/>
    <n v="18900"/>
    <s v="Ira Das"/>
    <s v="Gurugram"/>
    <s v="Haryana"/>
    <n v="31"/>
    <x v="1"/>
    <s v="Delivered"/>
    <s v="Cash on delivery"/>
  </r>
  <r>
    <s v="C047"/>
    <s v="P047"/>
    <s v="Mobile Chargers"/>
    <s v="Electronics"/>
    <n v="8"/>
    <n v="11200"/>
    <s v="Shaurya Arora"/>
    <s v="Gurugram"/>
    <s v="Haryana"/>
    <n v="24"/>
    <x v="0"/>
    <s v="Delivered"/>
    <s v="Cash on delivery"/>
  </r>
  <r>
    <s v="C048"/>
    <s v="P048"/>
    <s v="International Business Indoor Games"/>
    <s v="Toys"/>
    <n v="7"/>
    <n v="13230"/>
    <s v="Mahi Desai"/>
    <s v="Gurugram"/>
    <s v="Haryana"/>
    <n v="15"/>
    <x v="0"/>
    <s v="Delivered"/>
    <s v="Cash on delivery"/>
  </r>
  <r>
    <s v="C049"/>
    <s v="P049"/>
    <s v="Principle of Microecomics N.Gregory Mankiws"/>
    <s v="Books &amp; Stationeries"/>
    <n v="5"/>
    <n v="17500"/>
    <s v="Parth Thakur"/>
    <s v="Gurugram"/>
    <s v="Haryana"/>
    <n v="21"/>
    <x v="0"/>
    <s v="Delivered"/>
    <s v="Cash on delivery"/>
  </r>
  <r>
    <s v="C050"/>
    <s v="P050"/>
    <s v="Camping Kit"/>
    <s v="Sports &amp; Fitness"/>
    <n v="4"/>
    <n v="22400"/>
    <s v="Aanya Kohli"/>
    <s v="Gurugram"/>
    <s v="Haryana"/>
    <n v="31"/>
    <x v="1"/>
    <s v="Delivered"/>
    <s v="Cash on delivery"/>
  </r>
  <r>
    <s v="C051"/>
    <s v="P051"/>
    <s v="Kitchen toolset"/>
    <s v="Home and kitchen"/>
    <n v="3"/>
    <n v="12150"/>
    <s v="Aarav Singh"/>
    <s v="Gurugram"/>
    <s v="Haryana"/>
    <n v="39"/>
    <x v="1"/>
    <s v="Delivered"/>
    <s v="Credit Card"/>
  </r>
  <r>
    <s v="C052"/>
    <s v="P052"/>
    <s v="One plus 11R"/>
    <s v="Electronics"/>
    <n v="2"/>
    <n v="78000"/>
    <s v="Aditi Reddy"/>
    <s v="Gurugram"/>
    <s v="Haryana"/>
    <n v="45"/>
    <x v="1"/>
    <s v="Pending"/>
    <s v="Credit Card"/>
  </r>
  <r>
    <s v="C053"/>
    <s v="P053"/>
    <s v="Redmi Note 5"/>
    <s v="Electronics"/>
    <n v="1"/>
    <n v="19950"/>
    <s v="Arjun Das"/>
    <s v="Gurugram"/>
    <s v="Haryana"/>
    <n v="23"/>
    <x v="0"/>
    <s v="Pending"/>
    <s v="EMI "/>
  </r>
  <r>
    <s v="C054"/>
    <s v="P054"/>
    <s v="Ubon Airpodes"/>
    <s v="Electronics"/>
    <n v="11"/>
    <n v="11880"/>
    <s v="Ananya Arora"/>
    <s v="Gurugram"/>
    <s v="Haryana"/>
    <n v="31"/>
    <x v="1"/>
    <s v="Delivered"/>
    <s v="Credit Card"/>
  </r>
  <r>
    <s v="C055"/>
    <s v="P055"/>
    <s v="Ubon wired earphones"/>
    <s v="Electronics"/>
    <n v="12"/>
    <n v="15600"/>
    <s v="Aditya Desai"/>
    <s v="Gurugram"/>
    <s v="Haryana"/>
    <n v="43"/>
    <x v="1"/>
    <s v="Delivered"/>
    <s v="Credit Card"/>
  </r>
  <r>
    <s v="C056"/>
    <s v="P056"/>
    <s v="Ubon Headbands"/>
    <s v="Electronics"/>
    <n v="12"/>
    <n v="19152"/>
    <s v="Ishita Thakur"/>
    <s v="Gurugram"/>
    <s v="Haryana"/>
    <n v="30"/>
    <x v="1"/>
    <s v="Delivered"/>
    <s v="EMI "/>
  </r>
  <r>
    <s v="C057"/>
    <s v="P057"/>
    <s v="Gaming keyboard"/>
    <s v="Electronics"/>
    <n v="13"/>
    <n v="53820"/>
    <s v="Kabir Kohli"/>
    <s v="Gurugram"/>
    <s v="Haryana"/>
    <n v="21"/>
    <x v="0"/>
    <s v="Pending"/>
    <s v="Credit Card"/>
  </r>
  <r>
    <s v="C058"/>
    <s v="P058"/>
    <s v="Cartons Of screws and other accessories"/>
    <s v="Hardware"/>
    <n v="14"/>
    <n v="85050"/>
    <s v="Meera Mehta"/>
    <s v="Gurugram"/>
    <s v="Haryana"/>
    <n v="23"/>
    <x v="0"/>
    <s v="Pending"/>
    <s v="No Cost EMI"/>
  </r>
  <r>
    <s v="C059"/>
    <s v="P059"/>
    <s v="Dog Toys"/>
    <s v="Pet Supplies"/>
    <n v="15"/>
    <n v="48000"/>
    <s v="Rohan Patel"/>
    <s v="Gurugram"/>
    <s v="Haryana"/>
    <n v="51"/>
    <x v="1"/>
    <s v="Delivered"/>
    <s v="Buy Now Pay later"/>
  </r>
  <r>
    <s v="C060"/>
    <s v="P060"/>
    <s v="Real Mixed fruit Juice cartons"/>
    <s v="Beverages"/>
    <n v="16"/>
    <n v="30500"/>
    <s v="Priya Khan"/>
    <s v="Gurugram"/>
    <s v="Haryana"/>
    <n v="34"/>
    <x v="1"/>
    <s v="Pending"/>
    <s v="Buy Now Pay later"/>
  </r>
  <r>
    <s v="C061"/>
    <s v="P061"/>
    <s v="Lenovo Gaming PC"/>
    <s v="Electronics"/>
    <n v="1"/>
    <n v="114750"/>
    <s v="Rahul Khanna"/>
    <s v="Gurugram"/>
    <s v="Haryana"/>
    <n v="25"/>
    <x v="0"/>
    <s v="Delivered"/>
    <s v="Credit Card"/>
  </r>
  <r>
    <s v="C062"/>
    <s v="P062"/>
    <s v="Fancy Pencil Box kits"/>
    <s v="Books &amp; Stationeries"/>
    <n v="17"/>
    <n v="11475"/>
    <s v="Sneha Kulkarni"/>
    <s v="Gurugram"/>
    <s v="Haryana"/>
    <n v="31"/>
    <x v="1"/>
    <s v="Pending"/>
    <s v="Cash on delivery"/>
  </r>
  <r>
    <s v="C063"/>
    <s v="P063"/>
    <s v="Redmi Note 3"/>
    <s v="Electronics"/>
    <n v="18"/>
    <n v="19440"/>
    <s v="Vihaan Yadav"/>
    <s v="Gurugram"/>
    <s v="Haryana"/>
    <n v="28"/>
    <x v="1"/>
    <s v="Pending"/>
    <s v="Cash on delivery"/>
  </r>
  <r>
    <s v="C064"/>
    <s v="P064"/>
    <s v="redmi Note 6"/>
    <s v="Electronics"/>
    <n v="18"/>
    <n v="24300"/>
    <s v="Diya Mathur"/>
    <s v="Gurugram"/>
    <s v="Haryana"/>
    <n v="27"/>
    <x v="1"/>
    <s v="Pending"/>
    <s v="Credit Card"/>
  </r>
  <r>
    <s v="C065"/>
    <s v="P065"/>
    <s v="redmi note 2"/>
    <s v="Electronics"/>
    <n v="2"/>
    <n v="78000"/>
    <s v="Karan Gupta"/>
    <s v="Gurugram"/>
    <s v="Haryana"/>
    <n v="21"/>
    <x v="0"/>
    <s v="Pending"/>
    <s v="No Cost EMI"/>
  </r>
  <r>
    <s v="C066"/>
    <s v="P066"/>
    <s v="PowerBank"/>
    <s v="Electronics"/>
    <n v="3"/>
    <n v="15600"/>
    <s v="Neha Iyer"/>
    <s v="Kochi"/>
    <s v="Kerala"/>
    <n v="22"/>
    <x v="0"/>
    <s v="Pending"/>
    <s v="Credit Card"/>
  </r>
  <r>
    <s v="C067"/>
    <s v="P067"/>
    <s v="real apple Juice cartons"/>
    <s v="Beverages"/>
    <n v="4"/>
    <n v="26000"/>
    <s v="Aryan Mishra"/>
    <s v="Coimbatore"/>
    <s v="Tamil Nadu"/>
    <n v="26"/>
    <x v="1"/>
    <s v="Pending"/>
    <s v="Credit Card"/>
  </r>
  <r>
    <s v="C068"/>
    <s v="P068"/>
    <s v="Sujata Mixer Juicer grinder"/>
    <s v="Home and kitchen"/>
    <n v="5"/>
    <n v="39000"/>
    <s v="Kavya Pandey"/>
    <s v="Kanpur"/>
    <s v="Uttar Pradesh"/>
    <n v="36"/>
    <x v="1"/>
    <s v="Pending"/>
    <s v="Credit Card"/>
  </r>
  <r>
    <s v="C069"/>
    <s v="P069"/>
    <s v="Prestige Pressure Cooker"/>
    <s v="Home and kitchen"/>
    <n v="6"/>
    <n v="8100"/>
    <s v="Yash Srivastava"/>
    <s v="Kanpur"/>
    <s v="Uttar Pradesh"/>
    <n v="32"/>
    <x v="1"/>
    <s v="Pending"/>
    <s v="Cash on delivery"/>
  </r>
  <r>
    <s v="C070"/>
    <s v="P070"/>
    <s v="Prestige Frying Pan"/>
    <s v="Home and kitchen"/>
    <n v="7"/>
    <n v="7560"/>
    <s v="Riya Dutta"/>
    <s v="Lavasa"/>
    <s v="Maharashtra"/>
    <n v="41"/>
    <x v="1"/>
    <s v="Pending"/>
    <s v="Cash on delivery"/>
  </r>
  <r>
    <s v="C071"/>
    <s v="P071"/>
    <s v="Apsara Pencil cartons"/>
    <s v="Books &amp; Stationeries"/>
    <n v="8"/>
    <n v="2240"/>
    <s v="Dev Sood"/>
    <s v="Ludhiana"/>
    <s v="Punjab"/>
    <n v="41"/>
    <x v="1"/>
    <s v="Pending"/>
    <s v="Cash on delivery"/>
  </r>
  <r>
    <s v="C072"/>
    <s v="P072"/>
    <s v="Lion Antique Copper Statues"/>
    <s v="Art and collections"/>
    <n v="9"/>
    <n v="49572"/>
    <s v="Nisha Verma"/>
    <s v="Ahmedabad"/>
    <s v="Gujrat"/>
    <n v="32"/>
    <x v="1"/>
    <s v="Pending"/>
    <s v="Cash on delivery"/>
  </r>
  <r>
    <s v="C073"/>
    <s v="P073"/>
    <s v="Camlin Oil Pastel Cartons"/>
    <s v="Books &amp; Stationeries"/>
    <n v="10"/>
    <n v="19250"/>
    <s v="Siddharth Agarwal"/>
    <s v="Faridabad"/>
    <s v="Haryana"/>
    <n v="26"/>
    <x v="1"/>
    <s v="Pending"/>
    <s v="Cash on delivery"/>
  </r>
  <r>
    <s v="C074"/>
    <s v="P074"/>
    <s v="Realme P4"/>
    <s v="Electronics"/>
    <n v="1"/>
    <n v="40500"/>
    <s v="Pooja Saxena"/>
    <s v="Noida"/>
    <s v="Uttar Pradesh"/>
    <n v="24"/>
    <x v="0"/>
    <s v="Pending"/>
    <s v="Cash on delivery"/>
  </r>
  <r>
    <s v="C075"/>
    <s v="P075"/>
    <s v="Redmi Note 1"/>
    <s v="Electronics"/>
    <n v="2"/>
    <n v="39200"/>
    <s v="Varun Tiwari"/>
    <s v="Meerut"/>
    <s v="Uttar Pradesh"/>
    <n v="24"/>
    <x v="0"/>
    <s v="Pending"/>
    <s v="Cash on delivery"/>
  </r>
  <r>
    <s v="C076"/>
    <s v="P076"/>
    <s v="Alarm Clocks"/>
    <s v="Home and Lifestyle "/>
    <n v="3"/>
    <n v="4200"/>
    <s v="Simran Sinha"/>
    <s v="Patna"/>
    <s v="Bihar"/>
    <n v="25"/>
    <x v="0"/>
    <s v="Delivered"/>
    <s v="Cash on delivery"/>
  </r>
  <r>
    <s v="C077"/>
    <s v="P077"/>
    <s v="Digital Alarm clocks"/>
    <s v="Electronics"/>
    <n v="4"/>
    <n v="1400"/>
    <s v="Aniket Banerjee"/>
    <s v="Kolkata"/>
    <s v="West Bengal"/>
    <n v="26"/>
    <x v="1"/>
    <s v="Delivered"/>
    <s v="Cash on delivery"/>
  </r>
  <r>
    <s v="C078"/>
    <s v="P078"/>
    <s v="Kissan Mixedfruit Bread Jam"/>
    <s v="Beverages"/>
    <n v="5"/>
    <n v="1225"/>
    <s v="Tanvi Vohra"/>
    <s v="Kolkata"/>
    <s v="West Bengal"/>
    <n v="20"/>
    <x v="0"/>
    <s v="Delivered"/>
    <s v="UPI"/>
  </r>
  <r>
    <s v="C079"/>
    <s v="P079"/>
    <s v="Screw Drivers"/>
    <s v="Hardware"/>
    <n v="6"/>
    <n v="4200"/>
    <s v="Manav Sharma"/>
    <s v="Delhi"/>
    <s v="Delhi"/>
    <n v="32"/>
    <x v="1"/>
    <s v="Delivered"/>
    <s v="UPI"/>
  </r>
  <r>
    <s v="C080"/>
    <s v="P080"/>
    <s v="Pliers"/>
    <s v="Hardware"/>
    <n v="7"/>
    <n v="6860"/>
    <s v="Shreya Bansal"/>
    <s v="Amravati"/>
    <s v="Andhra Pradesh"/>
    <n v="33"/>
    <x v="1"/>
    <s v="Delivered"/>
    <s v="UPI"/>
  </r>
  <r>
    <s v="C081"/>
    <s v="P081"/>
    <s v="Peacock Statue"/>
    <s v="Art and collections"/>
    <n v="8"/>
    <n v="13440"/>
    <s v="Vivaan Chopra"/>
    <s v="Noida"/>
    <s v="Uttar Pradesh"/>
    <n v="45"/>
    <x v="1"/>
    <s v="Pending"/>
    <s v="UPI"/>
  </r>
  <r>
    <s v="C082"/>
    <s v="P082"/>
    <s v="Cat statue Showpiece"/>
    <s v="Art and collections"/>
    <n v="9"/>
    <n v="11340"/>
    <s v="Avni Sethi"/>
    <s v="Noida"/>
    <s v="Uttar Pradesh"/>
    <n v="47"/>
    <x v="1"/>
    <s v="Delivered"/>
    <s v="UPI"/>
  </r>
  <r>
    <s v="C083"/>
    <s v="P083"/>
    <s v="Dell Gaming PC"/>
    <s v="Electronics"/>
    <n v="1"/>
    <n v="141750"/>
    <s v="Reyansh Jain"/>
    <s v="Gurugram"/>
    <s v="Haryana"/>
    <n v="27"/>
    <x v="1"/>
    <s v="Pending"/>
    <s v="Credit Card"/>
  </r>
  <r>
    <s v="C084"/>
    <s v="P084"/>
    <s v="Cosco professional Cricket kit"/>
    <s v="Sports &amp; Fitness"/>
    <n v="2"/>
    <n v="31250"/>
    <s v="Myra Mukherjee"/>
    <s v="Gurugram"/>
    <s v="Haryana"/>
    <n v="24"/>
    <x v="0"/>
    <s v="Pending"/>
    <s v="Credit Card"/>
  </r>
  <r>
    <s v="C085"/>
    <s v="P085"/>
    <s v="Toor Daal 5 kgs pkt"/>
    <s v="Food and Beverages"/>
    <n v="3"/>
    <n v="1470"/>
    <s v="Krish Dubey"/>
    <s v="Gurugram"/>
    <s v="Haryana"/>
    <n v="29"/>
    <x v="1"/>
    <s v="Delivered"/>
    <s v="UPI"/>
  </r>
  <r>
    <s v="C086"/>
    <s v="P086"/>
    <s v="Arhar Daal 4 kgs pkt"/>
    <s v="Food and Beverages"/>
    <n v="4"/>
    <n v="3640"/>
    <s v="Kiara Naidu"/>
    <s v="Chennai"/>
    <s v="Tamil Nadu"/>
    <n v="37"/>
    <x v="1"/>
    <s v="Delivered"/>
    <s v="UPI"/>
  </r>
  <r>
    <s v="C087"/>
    <s v="P087"/>
    <s v="Sword showpiece collections"/>
    <s v="Home &amp; décor"/>
    <n v="5"/>
    <n v="9425"/>
    <s v="Atharv Malhotra"/>
    <s v="Noida"/>
    <s v="Uttar Pradesh"/>
    <n v="39"/>
    <x v="1"/>
    <s v="Delivered"/>
    <s v="Credit Card"/>
  </r>
  <r>
    <s v="C088"/>
    <s v="P088"/>
    <s v="Jagannath temple Paintings"/>
    <s v="Home &amp; décor"/>
    <n v="7"/>
    <n v="22750"/>
    <s v="Anika Joshi"/>
    <s v="Mumbai"/>
    <s v="Maharashtra"/>
    <n v="43"/>
    <x v="1"/>
    <s v="Delivered"/>
    <s v="Credit Card"/>
  </r>
  <r>
    <s v="C089"/>
    <s v="P089"/>
    <s v="Lenovo Headbands"/>
    <s v="Electronics"/>
    <n v="8"/>
    <n v="8948.7999999999993"/>
    <s v="Dhruv Chawla"/>
    <s v="Delhi"/>
    <s v="Delhi"/>
    <n v="28"/>
    <x v="1"/>
    <s v="Pending"/>
    <s v="UPI"/>
  </r>
  <r>
    <s v="C090"/>
    <s v="P090"/>
    <s v="Ubon Airpodes"/>
    <s v="Electronics"/>
    <n v="8"/>
    <n v="12960"/>
    <s v="Saanvi Goyal"/>
    <s v="Gurugram"/>
    <s v="Haryana"/>
    <n v="25"/>
    <x v="0"/>
    <s v="Pending"/>
    <s v="UPI"/>
  </r>
  <r>
    <s v="C091"/>
    <s v="P091"/>
    <s v="Kodak DSLR kit"/>
    <s v="Electronics"/>
    <n v="8"/>
    <n v="35880"/>
    <s v="Rudra Pillai"/>
    <s v="Coimbatore"/>
    <s v="Tamil Nadu"/>
    <n v="23"/>
    <x v="0"/>
    <s v="Pending"/>
    <s v="Credit Card"/>
  </r>
  <r>
    <s v="C092"/>
    <s v="P092"/>
    <s v="Crax Cartons"/>
    <s v="Food and Beverages"/>
    <n v="9"/>
    <n v="94770"/>
    <s v="Navya Tripathi"/>
    <s v="Ghaziabad"/>
    <s v="Uttar Pradesh"/>
    <n v="65"/>
    <x v="2"/>
    <s v="Pending"/>
    <s v="Credit Card"/>
  </r>
  <r>
    <s v="C093"/>
    <s v="P093"/>
    <s v="Drawing and SketchBooks"/>
    <s v="Books &amp; Stationeries"/>
    <n v="6"/>
    <n v="4620"/>
    <s v="Ayush Bhatt"/>
    <s v="Delhi"/>
    <s v="Delhi"/>
    <n v="33"/>
    <x v="1"/>
    <s v="Pending"/>
    <s v="Credit Card"/>
  </r>
  <r>
    <s v="C094"/>
    <s v="P094"/>
    <s v="Samsung Airpods"/>
    <s v="Electronics"/>
    <n v="5"/>
    <n v="8400"/>
    <s v="Tanya Kapoor"/>
    <s v="Pune"/>
    <s v="Maharashtra"/>
    <n v="31"/>
    <x v="1"/>
    <s v="Pending"/>
    <s v="UPI"/>
  </r>
  <r>
    <s v="C095"/>
    <s v="P095"/>
    <s v="Penholder"/>
    <s v="Books &amp; Stationeries"/>
    <n v="4"/>
    <n v="1120"/>
    <s v="Arnav Nair"/>
    <s v="Delhi"/>
    <s v="Delhi"/>
    <n v="21"/>
    <x v="0"/>
    <s v="Pending"/>
    <s v="UPI"/>
  </r>
  <r>
    <s v="C096"/>
    <s v="P096"/>
    <s v="packet of Kashmiri Walnuts"/>
    <s v="Dry Fruits"/>
    <n v="3"/>
    <n v="2310"/>
    <s v="Ira Rao"/>
    <s v="Jammu"/>
    <s v="Jammu &amp; Kashmir"/>
    <n v="32"/>
    <x v="1"/>
    <s v="Pending"/>
    <s v="UPI"/>
  </r>
  <r>
    <s v="C097"/>
    <s v="P097"/>
    <s v="Noisefit smartwatch buy 2 get one free"/>
    <s v="Electronics"/>
    <n v="3"/>
    <n v="2730"/>
    <s v="Shaurya Bhatia"/>
    <s v="Karnal"/>
    <s v="Haryana"/>
    <n v="33"/>
    <x v="1"/>
    <s v="Pending"/>
    <s v="UPI"/>
  </r>
  <r>
    <s v="C098"/>
    <s v="P098"/>
    <s v="Boult Airpods "/>
    <s v="Electronics"/>
    <n v="8"/>
    <n v="33600"/>
    <s v="Mahi Menon"/>
    <s v="Jaipur"/>
    <s v="Rajasthan"/>
    <n v="30"/>
    <x v="1"/>
    <s v="Pending"/>
    <s v="Credit Card"/>
  </r>
  <r>
    <s v="C099"/>
    <s v="P099"/>
    <s v="Camlin Brushpens set"/>
    <s v="Books &amp; Stationeries"/>
    <n v="7"/>
    <n v="6860"/>
    <s v="Parth Shukla"/>
    <s v="Jaipur"/>
    <s v="Rajasthan"/>
    <n v="22"/>
    <x v="0"/>
    <s v="Pending"/>
    <s v="UPI"/>
  </r>
  <r>
    <s v="C100"/>
    <s v="P100"/>
    <s v="Lava Agni 4 5g"/>
    <s v="Electronics"/>
    <n v="6"/>
    <n v="100050"/>
    <s v="Aanya Ahuja"/>
    <s v="Delhi"/>
    <s v="Delhi"/>
    <n v="25"/>
    <x v="0"/>
    <s v="Pending"/>
    <s v="Credit Card"/>
  </r>
  <r>
    <s v="C101"/>
    <s v="P101"/>
    <s v="Lava Agni 3 5g"/>
    <s v="Electronics"/>
    <n v="5"/>
    <n v="75000"/>
    <s v="Aarav Kapoor"/>
    <s v="Delhi"/>
    <s v="Delhi"/>
    <n v="24"/>
    <x v="0"/>
    <s v="Pending"/>
    <s v="Credit Card"/>
  </r>
  <r>
    <s v="C102"/>
    <s v="P102"/>
    <s v="Poco C85x 5g Smartphone"/>
    <s v="Electronics"/>
    <n v="4"/>
    <n v="52500"/>
    <s v="Aditi Nair"/>
    <s v="Kochi"/>
    <s v="Kerala"/>
    <n v="23"/>
    <x v="0"/>
    <s v="Pending"/>
    <s v="Credit Card"/>
  </r>
  <r>
    <s v="C103"/>
    <s v="P103"/>
    <s v="Redmi A7 pro 5g"/>
    <s v="Electronics"/>
    <n v="5"/>
    <n v="156250"/>
    <s v="Arjun Rao"/>
    <s v="pune"/>
    <s v="Maharashtra"/>
    <n v="26"/>
    <x v="1"/>
    <s v="Pending"/>
    <s v="EMI "/>
  </r>
  <r>
    <s v="C104"/>
    <s v="P104"/>
    <s v="Realme Narzo 80 Lite 5G"/>
    <s v="Electronics"/>
    <n v="3"/>
    <n v="46800"/>
    <s v="Ananya Bhatia"/>
    <s v="Delhi"/>
    <s v="Delhi"/>
    <n v="27"/>
    <x v="1"/>
    <s v="Pending"/>
    <s v="No Cost EMI"/>
  </r>
  <r>
    <s v="C105"/>
    <s v="P105"/>
    <s v="Lava Blaze Duo 3 5g"/>
    <s v="Electronics"/>
    <n v="2"/>
    <n v="46000"/>
    <s v="Aditya Menon"/>
    <s v="ghaziabad"/>
    <s v="Uttar Pradesh"/>
    <n v="27"/>
    <x v="1"/>
    <s v="Pending"/>
    <s v="Credit Card"/>
  </r>
  <r>
    <s v="C106"/>
    <s v="P106"/>
    <s v="IQOO Z10 Lite 5G"/>
    <s v="Electronics"/>
    <n v="3"/>
    <n v="111600"/>
    <s v="Ishita Shukla"/>
    <s v="Faridabad"/>
    <s v="Haryana"/>
    <n v="28"/>
    <x v="1"/>
    <s v="Pending"/>
    <s v="EMI "/>
  </r>
  <r>
    <s v="C107"/>
    <s v="P107"/>
    <s v="One Plus N6 "/>
    <s v="Electronics"/>
    <n v="4"/>
    <n v="216000"/>
    <s v="Kabir Ahuja"/>
    <s v="Gurugram"/>
    <s v="Haryana"/>
    <n v="29"/>
    <x v="1"/>
    <s v="Pending"/>
    <s v="EMI "/>
  </r>
  <r>
    <s v="C108"/>
    <s v="P108"/>
    <s v="Haier 9kg Oceanus Fully Automatic top load washing machine"/>
    <s v="Electronics"/>
    <n v="4"/>
    <n v="172800"/>
    <s v="Meera Singh"/>
    <s v="Delhi"/>
    <s v="Delhi"/>
    <n v="31"/>
    <x v="1"/>
    <s v="Pending"/>
    <s v="No Cost EMI"/>
  </r>
  <r>
    <s v="C109"/>
    <s v="P109"/>
    <s v="Crompton geyser 15ltrs"/>
    <s v="Electronics"/>
    <n v="2"/>
    <n v="189000"/>
    <s v="Rohan Reddy"/>
    <s v="Bangalore"/>
    <s v="Karnataka"/>
    <n v="32"/>
    <x v="1"/>
    <s v="Pending"/>
    <s v="No Cost EMI"/>
  </r>
  <r>
    <s v="C110"/>
    <s v="P110"/>
    <s v="AO Smith Geyser 15ltrs"/>
    <s v="Electronics"/>
    <n v="11"/>
    <n v="223080"/>
    <s v="Priya Das"/>
    <s v="Kolkata"/>
    <s v="West Bengal"/>
    <n v="33"/>
    <x v="1"/>
    <s v="Pending"/>
    <s v="EMI "/>
  </r>
  <r>
    <s v="C111"/>
    <s v="P111"/>
    <s v="Voltas 1.5 ton 3 star Air Conditioner"/>
    <s v="Electronics"/>
    <n v="22"/>
    <n v="632500"/>
    <s v="Rahul Arora"/>
    <s v="Gurugram"/>
    <s v="Haryana"/>
    <n v="45"/>
    <x v="1"/>
    <s v="Pending"/>
    <s v="Buy Now Pay later"/>
  </r>
  <r>
    <s v="C112"/>
    <s v="P112"/>
    <s v="Diesel Mr daddy 2.0 Men's watches"/>
    <s v="Fashion &amp; Acessories"/>
    <n v="13"/>
    <n v="236600"/>
    <s v="Sneha Desai"/>
    <s v="Ghaziabad"/>
    <s v="Uttar Pradesh"/>
    <n v="44"/>
    <x v="1"/>
    <s v="Pending"/>
    <s v="Buy Now Pay later"/>
  </r>
  <r>
    <s v="C113"/>
    <s v="P113"/>
    <s v="Diesel Mr daddy 2.0 stainless steel Men's watches"/>
    <s v="Fashion &amp; Acessories"/>
    <n v="15"/>
    <n v="151875"/>
    <s v="Vihaan Thakur"/>
    <s v="Faridabad"/>
    <s v="Haryana"/>
    <n v="56"/>
    <x v="1"/>
    <s v="Pending"/>
    <s v="No Cost EMI"/>
  </r>
  <r>
    <s v="C114"/>
    <s v="P114"/>
    <s v="Tommy hilfiger Men's watches"/>
    <s v="Fashion &amp; Acessories"/>
    <n v="15"/>
    <n v="87750"/>
    <s v="Diya Kohli"/>
    <s v="Delhi"/>
    <s v="Delhi"/>
    <n v="57"/>
    <x v="1"/>
    <s v="Pending"/>
    <s v="EMI "/>
  </r>
  <r>
    <s v="C115"/>
    <s v="P115"/>
    <s v="Olev's Men's watches"/>
    <s v="Fashion &amp; Acessories"/>
    <n v="16"/>
    <n v="31320"/>
    <s v="Karan Mehta"/>
    <s v="Surat"/>
    <s v="Gujrat"/>
    <n v="58"/>
    <x v="1"/>
    <s v="Pending"/>
    <s v="UPI"/>
  </r>
  <r>
    <s v="C116"/>
    <s v="P116"/>
    <s v="Kodak Selfie stick"/>
    <s v="Electronics"/>
    <n v="2"/>
    <n v="31250"/>
    <s v="Neha Patel"/>
    <s v="Surat"/>
    <s v="Gujrat"/>
    <n v="61"/>
    <x v="2"/>
    <s v="Pending"/>
    <s v="Credit Card"/>
  </r>
  <r>
    <s v="C117"/>
    <s v="P117"/>
    <s v="Noisefit smartwatch "/>
    <s v="Electronics"/>
    <n v="3"/>
    <n v="14700"/>
    <s v="Aryan Khan"/>
    <s v="Mumbai"/>
    <s v="Maharashtra"/>
    <n v="31"/>
    <x v="1"/>
    <s v="Pending"/>
    <s v="Credit Card"/>
  </r>
  <r>
    <s v="C118"/>
    <s v="P118"/>
    <s v="Apple Iphone AIR 13pro max"/>
    <s v="Electronics"/>
    <n v="4"/>
    <n v="622500"/>
    <s v="Kavya Khanna"/>
    <s v="Delhi"/>
    <s v="Delhi"/>
    <n v="27"/>
    <x v="1"/>
    <s v="Delivered"/>
    <s v="Credit Card"/>
  </r>
  <r>
    <s v="C119"/>
    <s v="P119"/>
    <s v="Hero12 Waterproof GoPro"/>
    <s v="Electronics"/>
    <n v="5"/>
    <n v="102600"/>
    <s v="Yash Kulkarni"/>
    <s v="Karnal"/>
    <s v="Haryana"/>
    <n v="43"/>
    <x v="1"/>
    <s v="Delivered"/>
    <s v="UPI"/>
  </r>
  <r>
    <s v="C120"/>
    <s v="P120"/>
    <s v="Hero13 Waterproof GoPro"/>
    <s v="Electronics"/>
    <n v="6"/>
    <n v="176737.5"/>
    <s v="Riya Yadav"/>
    <s v="Jind"/>
    <s v="Haryana"/>
    <n v="44"/>
    <x v="1"/>
    <s v="Delivered"/>
    <s v="Credit Card"/>
  </r>
  <r>
    <s v="C121"/>
    <s v="P121"/>
    <s v="hero12 Waterproof GoPro special Bundle"/>
    <s v="Electronics"/>
    <n v="7"/>
    <n v="563500"/>
    <s v="Dev Mathur"/>
    <s v="Rohtak"/>
    <s v="Haryana"/>
    <n v="41"/>
    <x v="1"/>
    <s v="Delivered"/>
    <s v="Credit Card"/>
  </r>
  <r>
    <s v="C122"/>
    <s v="P122"/>
    <s v="Owl Showpiece Statues"/>
    <s v="Home &amp; décor"/>
    <n v="8"/>
    <n v="80000"/>
    <s v="Nisha Gupta"/>
    <s v="Varanasi"/>
    <s v="Uttar Pradesh"/>
    <n v="44"/>
    <x v="1"/>
    <s v="Delivered"/>
    <s v="Credit Card"/>
  </r>
  <r>
    <s v="C123"/>
    <s v="P123"/>
    <s v="Peacock Showpiece Statue"/>
    <s v="Home &amp; décor"/>
    <n v="9"/>
    <n v="113850"/>
    <s v="Siddharth Iyer"/>
    <s v="Vishakhapatnam"/>
    <s v="Andhra Pradesh"/>
    <n v="45"/>
    <x v="1"/>
    <s v="Delivered"/>
    <s v="Credit Card"/>
  </r>
  <r>
    <s v="C124"/>
    <s v="P124"/>
    <s v="Persian Carpet Red and White"/>
    <s v="Home &amp; décor"/>
    <n v="8"/>
    <n v="140000"/>
    <s v="Pooja Mishra"/>
    <s v="Ayodhya"/>
    <s v="Uttar Pradesh"/>
    <n v="45"/>
    <x v="1"/>
    <s v="Delivered"/>
    <s v="Credit Card"/>
  </r>
  <r>
    <s v="C125"/>
    <s v="P125"/>
    <s v="Persian Carpet blue and White"/>
    <s v="Home &amp; décor"/>
    <n v="9"/>
    <n v="175950"/>
    <s v="Varun Pandey"/>
    <s v="Ayodhya"/>
    <s v="Uttar Pradesh"/>
    <n v="45"/>
    <x v="1"/>
    <s v="Delivered"/>
    <s v="EMI "/>
  </r>
  <r>
    <s v="C126"/>
    <s v="P126"/>
    <s v="Gold Necklace Kalyan Jewlers"/>
    <s v="Jewelry"/>
    <n v="8"/>
    <n v="200000"/>
    <s v="Simran Srivastava"/>
    <s v="Ghaziabad"/>
    <s v="Uttar Pradesh"/>
    <n v="46"/>
    <x v="1"/>
    <s v="Delivered"/>
    <s v="EMI "/>
  </r>
  <r>
    <s v="C127"/>
    <s v="P127"/>
    <s v="Ivory Showpiece"/>
    <s v="Home &amp; décor"/>
    <n v="9"/>
    <n v="238050"/>
    <s v="Aniket Dutta"/>
    <s v="Noida"/>
    <s v="Uttar Pradesh"/>
    <n v="34"/>
    <x v="1"/>
    <s v="Delivered"/>
    <s v="EMI "/>
  </r>
  <r>
    <s v="C128"/>
    <s v="P128"/>
    <s v="Behoma Pure Brass Kalpvriksh Tree with Birds statue"/>
    <s v="Home &amp; décor"/>
    <n v="8"/>
    <n v="260000"/>
    <s v="Tanvi Sood"/>
    <s v="Chandigarh"/>
    <s v="Haryana"/>
    <n v="32"/>
    <x v="1"/>
    <s v="Delivered"/>
    <s v="EMI "/>
  </r>
  <r>
    <s v="C129"/>
    <s v="P129"/>
    <s v="Behoma Pure Brass Kalpvriksh Tree with Birds statue"/>
    <s v="Home &amp; décor"/>
    <n v="9"/>
    <n v="300150"/>
    <s v="Manav Verma"/>
    <s v="Chandigarh"/>
    <s v="Haryana"/>
    <n v="37"/>
    <x v="1"/>
    <s v="Delivered"/>
    <s v="EMI "/>
  </r>
  <r>
    <s v="C130"/>
    <s v="P130"/>
    <s v="GoPro MAX2 true 8k waterproof"/>
    <s v="Electronics"/>
    <n v="9"/>
    <n v="360000"/>
    <s v="Shreya Agarwal"/>
    <s v="Delhi"/>
    <s v="Delhi"/>
    <n v="35"/>
    <x v="1"/>
    <s v="Pending"/>
    <s v="EMI "/>
  </r>
  <r>
    <s v="C131"/>
    <s v="P131"/>
    <s v="Sliver Plated Rearing Horse Statue"/>
    <s v="Home &amp; décor"/>
    <n v="9"/>
    <n v="434700"/>
    <s v="Vivaan Saxena"/>
    <s v="Delhi"/>
    <s v="Delhi"/>
    <n v="43"/>
    <x v="1"/>
    <s v="Pending"/>
    <s v="EMI "/>
  </r>
  <r>
    <s v="C132"/>
    <s v="P132"/>
    <s v="Gold plated rearing Horse Statue "/>
    <s v="Art and collections"/>
    <n v="8"/>
    <n v="419520"/>
    <s v="Avni Tiwari"/>
    <s v="Delhi"/>
    <s v="Delhi"/>
    <n v="45"/>
    <x v="1"/>
    <s v="Pending"/>
    <s v="EMI "/>
  </r>
  <r>
    <s v="C133"/>
    <s v="P133"/>
    <s v="Platinum Plated 7 rearing Horse Statue"/>
    <s v="Art and collections"/>
    <n v="7"/>
    <n v="344400"/>
    <s v="Reyansh Sinha"/>
    <s v="Delhi"/>
    <s v="Delhi"/>
    <n v="44"/>
    <x v="1"/>
    <s v="Pending"/>
    <s v="EMI "/>
  </r>
  <r>
    <s v="C134"/>
    <s v="P134"/>
    <s v="Gold Plated 7 rearing Horse Statue"/>
    <s v="Art and collections"/>
    <n v="2"/>
    <n v="123500"/>
    <s v="Myra Banerjee"/>
    <s v="Kolkata"/>
    <s v="West Bengal"/>
    <n v="32"/>
    <x v="1"/>
    <s v="Pending"/>
    <s v="EMI "/>
  </r>
  <r>
    <s v="C135"/>
    <s v="P135"/>
    <s v="Gold Plated 2 rearing Horse Statue"/>
    <s v="Art and collections"/>
    <n v="2"/>
    <n v="122500"/>
    <s v="Krish Vohra"/>
    <s v="Mumbai"/>
    <s v="Maharashtra"/>
    <n v="45"/>
    <x v="1"/>
    <s v="Pending"/>
    <s v="EMI "/>
  </r>
  <r>
    <s v="C136"/>
    <s v="P136"/>
    <s v="Silver Plated 2 Rearing Horse Statue"/>
    <s v="Art and collections"/>
    <n v="2"/>
    <n v="123600"/>
    <s v="Kiara Sharma"/>
    <s v="Pune"/>
    <s v="Maharashtra"/>
    <n v="43"/>
    <x v="1"/>
    <s v="Pending"/>
    <s v="Credit Card"/>
  </r>
  <r>
    <s v="C137"/>
    <s v="P137"/>
    <s v="LG Smart LED TV"/>
    <s v="Electronics"/>
    <n v="1"/>
    <n v="89250"/>
    <s v="Atharv Bansal"/>
    <s v="Chandigarh"/>
    <s v="Haryana"/>
    <n v="39"/>
    <x v="1"/>
    <s v="Pending"/>
    <s v="EMI "/>
  </r>
  <r>
    <s v="C138"/>
    <s v="P138"/>
    <s v="Redmi Smart LED TV"/>
    <s v="Electronics"/>
    <n v="1"/>
    <n v="97200"/>
    <s v="Anika Chopra"/>
    <s v="Noida"/>
    <s v="Uttar Pradesh"/>
    <n v="40"/>
    <x v="1"/>
    <s v="Pending"/>
    <s v="EMI "/>
  </r>
  <r>
    <s v="C139"/>
    <s v="P139"/>
    <s v="Pure Silver Plated Kamdhenu Cow statue"/>
    <s v="Home &amp; décor"/>
    <n v="2"/>
    <n v="128800"/>
    <s v="Dhruv Sethi"/>
    <s v="Ghaziabad"/>
    <s v="Uttar Pradesh"/>
    <n v="43"/>
    <x v="1"/>
    <s v="Pending"/>
    <s v="EMI "/>
  </r>
  <r>
    <s v="C140"/>
    <s v="P140"/>
    <s v="One plus Nord 6"/>
    <s v="Electronics"/>
    <n v="1"/>
    <n v="47250"/>
    <s v="Saanvi Jain"/>
    <s v="Kanpur"/>
    <s v="Uttar Pradesh"/>
    <n v="41"/>
    <x v="1"/>
    <s v="Pending"/>
    <s v="Credit Card"/>
  </r>
  <r>
    <s v="C141"/>
    <s v="P141"/>
    <s v="Victorinox Automatic swiss made watches"/>
    <s v="Fashion &amp; Acessories"/>
    <n v="3"/>
    <n v="94080"/>
    <s v="Rudra Mukherjee"/>
    <s v="Aurangabad"/>
    <s v="Maharashtra"/>
    <n v="34"/>
    <x v="1"/>
    <s v="Pending"/>
    <s v="EMI "/>
  </r>
  <r>
    <s v="C142"/>
    <s v="P142"/>
    <s v="HP Victus Gaming Laptop"/>
    <s v="Electronics"/>
    <n v="1"/>
    <n v="281750"/>
    <s v="Navya Dubey"/>
    <s v="Aligarh "/>
    <s v="Uttar Pradesh"/>
    <n v="26"/>
    <x v="1"/>
    <s v="Pending"/>
    <s v="EMI "/>
  </r>
  <r>
    <s v="C143"/>
    <s v="P143"/>
    <s v="Oneplus Nord 6 smartphone"/>
    <s v="Electronics"/>
    <n v="2"/>
    <n v="79577.7"/>
    <s v="Ayush Naidu"/>
    <s v="Vizag"/>
    <s v="Maharashtra"/>
    <n v="25"/>
    <x v="0"/>
    <s v="Pending"/>
    <s v="EMI "/>
  </r>
  <r>
    <s v="C144"/>
    <s v="P144"/>
    <s v="Canon EOS R100 DSLR"/>
    <s v="Electronics"/>
    <n v="3"/>
    <n v="164203.19999999998"/>
    <s v="Tanya Malhotra"/>
    <s v="Faridabad"/>
    <s v="Haryana"/>
    <n v="29"/>
    <x v="1"/>
    <s v="Pending"/>
    <s v="Credit Card"/>
  </r>
  <r>
    <s v="C145"/>
    <s v="P145"/>
    <s v="Pure Silver Plated Kamdhenu Cow and calf statue"/>
    <s v="Art and collections"/>
    <n v="4"/>
    <n v="61725"/>
    <s v="Arnav Joshi"/>
    <s v="Kannauj"/>
    <s v="Uttar Pradesh"/>
    <n v="30"/>
    <x v="1"/>
    <s v="Pending"/>
    <s v="EMI "/>
  </r>
  <r>
    <s v="C146"/>
    <s v="P146"/>
    <s v="Samsung Galaxy M56 smartphone"/>
    <s v="Electronics"/>
    <n v="1"/>
    <n v="39000"/>
    <s v="Ira Chawla"/>
    <s v="Rohtak"/>
    <s v="Haryana"/>
    <n v="32"/>
    <x v="1"/>
    <s v="Pending"/>
    <s v="EMI "/>
  </r>
  <r>
    <s v="C147"/>
    <s v="P147"/>
    <s v="Pure Platinum Plated Kamdhenu Cow statue"/>
    <s v="Art and collections"/>
    <n v="3"/>
    <n v="117180"/>
    <s v="Shaurya Goyal"/>
    <s v="Sonipat"/>
    <s v="Haryana"/>
    <n v="31"/>
    <x v="1"/>
    <s v="Pending"/>
    <s v="EMI "/>
  </r>
  <r>
    <s v="C148"/>
    <s v="P148"/>
    <s v="Pure Platinum Plated Kamdhenu Cow and calf  statue"/>
    <s v="Home &amp; décor"/>
    <n v="3"/>
    <n v="110400"/>
    <s v="Mahi Pillai"/>
    <s v="Vizag"/>
    <s v="Andhra Pradesh"/>
    <n v="33"/>
    <x v="1"/>
    <s v="Pending"/>
    <s v="EMI "/>
  </r>
  <r>
    <s v="C149"/>
    <s v="P149"/>
    <s v="Pure Platinum 4 Rearing Horses Statues"/>
    <s v="Art and collections"/>
    <n v="3"/>
    <n v="103950"/>
    <s v="Parth Tripathi"/>
    <s v="Panipat"/>
    <s v="Haryana"/>
    <n v="32"/>
    <x v="1"/>
    <s v="Pending"/>
    <s v="EMI "/>
  </r>
  <r>
    <s v="C150"/>
    <s v="P150"/>
    <s v="Pure Gold 2 Rearing Horses Statues"/>
    <s v="Art and collections"/>
    <n v="3"/>
    <n v="117300"/>
    <s v="Aanya Bhatt"/>
    <s v="Baghpat"/>
    <s v="Haryana"/>
    <n v="23"/>
    <x v="0"/>
    <s v="Pending"/>
    <s v="EMI "/>
  </r>
  <r>
    <s v="C151"/>
    <s v="P151"/>
    <s v="Pure Gold 3 Rearing Horses Statues"/>
    <s v="Art and collections"/>
    <n v="4"/>
    <n v="161000"/>
    <s v="Aarav Malhotra"/>
    <s v="ghaziabad"/>
    <s v="Uttar Pradesh"/>
    <n v="26"/>
    <x v="1"/>
    <s v="Pending"/>
    <s v="Credit Card"/>
  </r>
  <r>
    <s v="C152"/>
    <s v="P152"/>
    <s v="Pure Gold 4 Rearing Horses Statues"/>
    <s v="Art and collections"/>
    <n v="4"/>
    <n v="187200"/>
    <s v="Aditi Joshi"/>
    <s v="Delhi"/>
    <s v="Delhi"/>
    <n v="27"/>
    <x v="1"/>
    <s v="Pending"/>
    <s v="Credit Card"/>
  </r>
  <r>
    <s v="C153"/>
    <s v="P153"/>
    <s v="Pure Gold 5  Rearing Horses Statues"/>
    <s v="Art and collections"/>
    <n v="4"/>
    <n v="185000"/>
    <s v="Arjun Chawla"/>
    <s v="Mumbai"/>
    <s v="Maharashtra"/>
    <n v="31"/>
    <x v="1"/>
    <s v="Pending"/>
    <s v="EMI "/>
  </r>
  <r>
    <s v="C154"/>
    <s v="P154"/>
    <s v="Pure Gold 5 Rearing Horses Statues"/>
    <s v="Art and collections"/>
    <n v="4"/>
    <n v="197600"/>
    <s v="Ananya Goyal"/>
    <s v="Meerut"/>
    <s v="Uttar Pradesh"/>
    <n v="32"/>
    <x v="1"/>
    <s v="Pending"/>
    <s v="EMI "/>
  </r>
  <r>
    <s v="C155"/>
    <s v="P155"/>
    <s v="Pure Gold 3 Rearing Horses Statues"/>
    <s v="Art and collections"/>
    <n v="4"/>
    <n v="198120"/>
    <s v="Aditya Pillai"/>
    <s v="Gurugram"/>
    <s v="Haryana"/>
    <n v="37"/>
    <x v="1"/>
    <s v="Pending"/>
    <s v="EMI "/>
  </r>
  <r>
    <s v="C156"/>
    <s v="P156"/>
    <s v="Pure Gold 6 Rearing Horses Statues"/>
    <s v="Art and collections"/>
    <n v="4"/>
    <n v="201600"/>
    <s v="Ishita Dagar"/>
    <s v="Rohtak"/>
    <s v="Haryana"/>
    <n v="65"/>
    <x v="2"/>
    <s v="Pending"/>
    <s v="Buy Now Pay later"/>
  </r>
  <r>
    <s v="C157"/>
    <s v="P157"/>
    <s v="Pure Gold  Rearing Horse Statues"/>
    <s v="Art and collections"/>
    <n v="5"/>
    <n v="254200"/>
    <s v="Kabir Bhatt"/>
    <s v="Srinagar"/>
    <s v="Jammu &amp; Kashmir"/>
    <n v="66"/>
    <x v="2"/>
    <s v="Pending"/>
    <s v="EMI "/>
  </r>
  <r>
    <s v="C158"/>
    <s v="P158"/>
    <s v="Pure Silver 4 Rearing Horses Statues"/>
    <s v="Art and collections"/>
    <n v="5"/>
    <n v="268800"/>
    <s v="Meera Kapoor"/>
    <s v="Srinagar"/>
    <s v="Jammu &amp; Kashmir"/>
    <n v="29"/>
    <x v="1"/>
    <s v="Pending"/>
    <s v="EMI "/>
  </r>
  <r>
    <s v="C159"/>
    <s v="P159"/>
    <s v="Pure Silver 2 rearing Horses Statues"/>
    <s v="Art and collections"/>
    <n v="5"/>
    <n v="277350"/>
    <s v="Rohan Nair"/>
    <s v="Vizag"/>
    <s v="Andhra Pradesh"/>
    <n v="32"/>
    <x v="1"/>
    <s v="Pending"/>
    <s v="Credit Card"/>
  </r>
  <r>
    <s v="C160"/>
    <s v="P160"/>
    <s v="Pure Platinum 4 Rearing Horses Statues"/>
    <s v="Art and collections"/>
    <n v="5"/>
    <n v="220000"/>
    <s v="Priya Rao"/>
    <s v="Faridabad"/>
    <s v="Haryana"/>
    <n v="35"/>
    <x v="1"/>
    <s v="Pending"/>
    <s v="EMI "/>
  </r>
  <r>
    <s v="C161"/>
    <s v="P161"/>
    <s v="Pure Platinum 4 Rearing Horses Statues"/>
    <s v="Art and collections"/>
    <n v="5"/>
    <n v="225000"/>
    <s v="Rahul Bhatia"/>
    <s v="Chandigarh"/>
    <s v="Haryana"/>
    <n v="27"/>
    <x v="1"/>
    <s v="Pending"/>
    <s v="Credit Card"/>
  </r>
  <r>
    <s v="C162"/>
    <s v="P162"/>
    <s v="Pure Platinum 4 Rearing Horses Statues"/>
    <s v="Home &amp; décor"/>
    <n v="5"/>
    <n v="230000"/>
    <s v="Sneha Menon"/>
    <s v="Kannauj"/>
    <s v="Uttar Pradesh"/>
    <n v="25"/>
    <x v="0"/>
    <s v="Pending"/>
    <s v="EMI "/>
  </r>
  <r>
    <s v="C163"/>
    <s v="P163"/>
    <s v="Pure Platinum 4 Rearing Horses Statues"/>
    <s v="Home &amp; décor"/>
    <n v="5"/>
    <n v="282000"/>
    <s v="Vihaan Shukla"/>
    <s v="Faridabad"/>
    <s v="Haryana"/>
    <n v="29"/>
    <x v="1"/>
    <s v="Pending"/>
    <s v="EMI "/>
  </r>
  <r>
    <s v="C164"/>
    <s v="P164"/>
    <s v="Pure Platinum 4 Rearing Horses Statues"/>
    <s v="Home &amp; décor"/>
    <n v="5"/>
    <n v="325200"/>
    <s v="Diya Ahuja"/>
    <s v="Chandigarh"/>
    <s v="Haryana"/>
    <n v="26"/>
    <x v="1"/>
    <s v="Pending"/>
    <s v="EMI "/>
  </r>
  <r>
    <s v="C165"/>
    <s v="P165"/>
    <s v="Pure Platinum 4 Rearing Horses Statues"/>
    <s v="Home &amp; décor"/>
    <n v="5"/>
    <n v="329525"/>
    <s v="Karan Singh"/>
    <s v="Gorakhpur"/>
    <s v="Uttar Pradesh"/>
    <n v="24"/>
    <x v="0"/>
    <s v="Pending"/>
    <s v="EMI "/>
  </r>
  <r>
    <s v="C166"/>
    <s v="P166"/>
    <s v="Samsung Refrigerator"/>
    <s v="Electronics"/>
    <n v="5"/>
    <n v="250000"/>
    <s v="Neha Reddy"/>
    <s v="Bareilly"/>
    <s v="Uttar Pradesh"/>
    <n v="21"/>
    <x v="0"/>
    <s v="Pending"/>
    <s v="EMI "/>
  </r>
  <r>
    <s v="C167"/>
    <s v="P167"/>
    <s v="Samsung Refrigerator"/>
    <s v="Electronics"/>
    <n v="5"/>
    <n v="331500"/>
    <s v="Aryan Das"/>
    <s v="Kolkata"/>
    <s v="West Bengal"/>
    <n v="31"/>
    <x v="1"/>
    <s v="Pending"/>
    <s v="EMI "/>
  </r>
  <r>
    <s v="C168"/>
    <s v="P168"/>
    <s v="LG Refrigerator"/>
    <s v="Electronics"/>
    <n v="6"/>
    <n v="405600"/>
    <s v="Kavya Arora"/>
    <s v="Gurugram"/>
    <s v="Haryana"/>
    <n v="34"/>
    <x v="1"/>
    <s v="Pending"/>
    <s v="EMI "/>
  </r>
  <r>
    <s v="C169"/>
    <s v="P169"/>
    <s v="Voltas Refrigerator"/>
    <s v="Electronics"/>
    <n v="6"/>
    <n v="403860"/>
    <s v="Yash Desai"/>
    <s v="Gorakhpur"/>
    <s v="Uttar Pradesh"/>
    <n v="45"/>
    <x v="1"/>
    <s v="Pending"/>
    <s v="EMI "/>
  </r>
  <r>
    <s v="C170"/>
    <s v="P170"/>
    <s v="Samsung Refrigerator"/>
    <s v="Electronics"/>
    <n v="7"/>
    <n v="498960"/>
    <s v="Riya Thakur"/>
    <s v="Lucknow"/>
    <s v="Uttar Pradesh"/>
    <n v="42"/>
    <x v="1"/>
    <s v="Pending"/>
    <s v="EMI "/>
  </r>
  <r>
    <s v="C171"/>
    <s v="P171"/>
    <s v="Tredmills"/>
    <s v="Sports &amp; Fitness"/>
    <n v="6"/>
    <n v="448800"/>
    <s v="Dev Kohli"/>
    <s v="Faridabad"/>
    <s v="Haryana"/>
    <n v="41"/>
    <x v="1"/>
    <s v="Pending"/>
    <s v="EMI "/>
  </r>
  <r>
    <s v="C172"/>
    <s v="P172"/>
    <s v="Premium Alloy Wheel set"/>
    <s v="Automotive"/>
    <n v="5"/>
    <n v="378000"/>
    <s v="Nishant Nagar"/>
    <s v="Baghpat"/>
    <s v="Haryana"/>
    <n v="40"/>
    <x v="1"/>
    <s v="Pending"/>
    <s v="EMI "/>
  </r>
  <r>
    <s v="C173"/>
    <s v="P173"/>
    <s v="Samsung Luxury Home theater system"/>
    <s v="Electronics"/>
    <n v="4"/>
    <n v="296400"/>
    <s v="Siddharth Patel"/>
    <s v="Surat"/>
    <s v="Gujrat"/>
    <n v="43"/>
    <x v="1"/>
    <s v="Pending"/>
    <s v="EMI "/>
  </r>
  <r>
    <s v="C174"/>
    <s v="P174"/>
    <s v="Pure Platinum 4 Rearing Horses Statues"/>
    <s v="Home &amp; décor"/>
    <n v="3"/>
    <n v="222720"/>
    <s v="Pooja Khanna"/>
    <s v="Delhi"/>
    <s v="Delhi"/>
    <n v="34"/>
    <x v="1"/>
    <s v="Pending"/>
    <s v="EMI "/>
  </r>
  <r>
    <s v="C175"/>
    <s v="P175"/>
    <s v="Pure Platinum 4 Rearing Horses Statues"/>
    <s v="Home &amp; décor"/>
    <n v="2"/>
    <n v="149860"/>
    <s v="Varun Khanna"/>
    <s v="Delhi"/>
    <s v="Delhi"/>
    <n v="40"/>
    <x v="1"/>
    <s v="Pending"/>
    <s v="EMI "/>
  </r>
  <r>
    <s v="C176"/>
    <s v="P176"/>
    <s v="Acer Gaming Laptop"/>
    <s v="Electronics"/>
    <n v="1"/>
    <n v="75000"/>
    <s v="Simran Kulkarni"/>
    <s v="Nashik"/>
    <s v="Maharashtra"/>
    <n v="31"/>
    <x v="1"/>
    <s v="Pending"/>
    <s v="EMI "/>
  </r>
  <r>
    <s v="C177"/>
    <s v="P177"/>
    <s v="Quartz Sculpture"/>
    <s v="Art and collections"/>
    <n v="2"/>
    <n v="146400"/>
    <s v="Aniket Yadav"/>
    <s v="Vadodra"/>
    <s v="Gujrat"/>
    <n v="40"/>
    <x v="1"/>
    <s v="Pending"/>
    <s v="EMI "/>
  </r>
  <r>
    <s v="C178"/>
    <s v="P178"/>
    <s v="AMO Electric Scooter"/>
    <s v="Automotive"/>
    <n v="1"/>
    <n v="74400"/>
    <s v="Tanvi Mathur"/>
    <s v="Nangloi"/>
    <s v="Haryana"/>
    <n v="35"/>
    <x v="1"/>
    <s v="Pending"/>
    <s v="EMI "/>
  </r>
  <r>
    <s v="C179"/>
    <s v="P179"/>
    <s v="Brass Lord Buddha Statue"/>
    <s v="Art and collections"/>
    <n v="1"/>
    <n v="81900"/>
    <s v="Manav Gupta"/>
    <s v="Delhi"/>
    <s v="Delhi"/>
    <n v="36"/>
    <x v="1"/>
    <s v="Pending"/>
    <s v="EMI "/>
  </r>
  <r>
    <s v="C180"/>
    <s v="P180"/>
    <s v="Gold Lord Buddha Statue"/>
    <s v="Art and collections"/>
    <n v="1"/>
    <n v="83200"/>
    <s v="Shreya Iyer"/>
    <s v="Vizag"/>
    <s v="Andhra Pradesh"/>
    <n v="28"/>
    <x v="1"/>
    <s v="Pending"/>
    <s v="EMI "/>
  </r>
  <r>
    <s v="C181"/>
    <s v="P181"/>
    <s v="Sliver Lord Buddha Statue"/>
    <s v="Art and collections"/>
    <n v="1"/>
    <n v="81250"/>
    <s v="Vivaan Mishra"/>
    <s v="Kannauj"/>
    <s v="Uttar Pradesh"/>
    <n v="26"/>
    <x v="1"/>
    <s v="Pending"/>
    <s v="EMI "/>
  </r>
  <r>
    <s v="C182"/>
    <s v="P182"/>
    <s v="Platinum Lord Buddha Statue"/>
    <s v="Art and collections"/>
    <n v="1"/>
    <n v="75900"/>
    <s v="Avni Pandey"/>
    <s v="Varanasi"/>
    <s v="Uttar Pradesh"/>
    <n v="25"/>
    <x v="0"/>
    <s v="Pending"/>
    <s v="Credit Card"/>
  </r>
  <r>
    <s v="C183"/>
    <s v="P183"/>
    <s v="Black Adiyogi Mahadeva Statue"/>
    <s v="Art and collections"/>
    <n v="1"/>
    <n v="87100"/>
    <s v="Reyansh Srivastava"/>
    <s v="Ayodhya"/>
    <s v="Uttar Pradesh"/>
    <n v="29"/>
    <x v="1"/>
    <s v="Pending"/>
    <s v="Credit Card"/>
  </r>
  <r>
    <s v="C184"/>
    <s v="P184"/>
    <s v="Pure Brass Natarajan Statue"/>
    <s v="Art and collections"/>
    <n v="1"/>
    <n v="88400"/>
    <s v="Myra Dutta"/>
    <s v="Gorakhpur"/>
    <s v="Uttar Pradesh"/>
    <n v="29"/>
    <x v="1"/>
    <s v="Pending"/>
    <s v="Credit Card"/>
  </r>
  <r>
    <s v="C185"/>
    <s v="P185"/>
    <s v="Pure Platinum Natarajan Statue "/>
    <s v="Art and collections"/>
    <n v="1"/>
    <n v="93150"/>
    <s v="Krish Sood"/>
    <s v="Amritsar"/>
    <s v="Punjab"/>
    <n v="31"/>
    <x v="1"/>
    <s v="Pending"/>
    <s v="Credit Card"/>
  </r>
  <r>
    <s v="C186"/>
    <s v="P186"/>
    <s v="Ikea Furniture Set"/>
    <s v="Furniture"/>
    <n v="1"/>
    <n v="91000"/>
    <s v="Kiara Verma"/>
    <s v="Panipat"/>
    <s v="Haryana"/>
    <n v="31"/>
    <x v="1"/>
    <s v="Pending"/>
    <s v="EMI "/>
  </r>
  <r>
    <s v="C187"/>
    <s v="P187"/>
    <s v="Cricket kit MRF"/>
    <s v="Sports &amp; Fitness"/>
    <n v="1"/>
    <n v="95850"/>
    <s v="Atharv Agarwal"/>
    <s v="Sonipat"/>
    <s v="Haryana"/>
    <n v="26"/>
    <x v="1"/>
    <s v="Pending"/>
    <s v="EMI "/>
  </r>
  <r>
    <s v="C188"/>
    <s v="P188"/>
    <s v="Macbook"/>
    <s v="Electronics"/>
    <n v="1"/>
    <n v="92160"/>
    <s v="Anika Saxena"/>
    <s v="Gurugram"/>
    <s v="Haryana"/>
    <n v="23"/>
    <x v="0"/>
    <s v="Pending"/>
    <s v="EMI "/>
  </r>
  <r>
    <s v="C189"/>
    <s v="P189"/>
    <s v="LG 2.5 Ton 5 star AC"/>
    <s v="Electronics"/>
    <n v="1"/>
    <n v="91250"/>
    <s v="Dhruv Tiwari"/>
    <s v="Baghpat"/>
    <s v="Haryana"/>
    <n v="21"/>
    <x v="0"/>
    <s v="Pending"/>
    <s v="EMI "/>
  </r>
  <r>
    <s v="C190"/>
    <s v="P190"/>
    <s v="Nikon D7500 DSLR"/>
    <s v="Electronics"/>
    <n v="1"/>
    <n v="94720"/>
    <s v="Saanvi Sinha"/>
    <s v="Kanpur"/>
    <s v="Uttar Pradesh"/>
    <n v="24"/>
    <x v="0"/>
    <s v="Pending"/>
    <s v="EMI "/>
  </r>
  <r>
    <s v="C191"/>
    <s v="P191"/>
    <s v="Sony New Alpha DSLR"/>
    <s v="Electronics"/>
    <n v="1"/>
    <n v="93750"/>
    <s v="Rudra Banerjee"/>
    <s v="Kolkata"/>
    <s v="West Bengal"/>
    <n v="25"/>
    <x v="0"/>
    <s v="Pending"/>
    <s v="EMI "/>
  </r>
  <r>
    <s v="C192"/>
    <s v="P192"/>
    <s v="Nothing Phone 3A"/>
    <s v="Electronics"/>
    <n v="1"/>
    <n v="95000"/>
    <s v="Navya Vohra"/>
    <s v="Hampi"/>
    <s v="Karnataka"/>
    <n v="26"/>
    <x v="1"/>
    <s v="Pending"/>
    <s v="EMI "/>
  </r>
  <r>
    <s v="C193"/>
    <s v="P193"/>
    <s v="Iphone 11 pro max"/>
    <s v="Electronics"/>
    <n v="1"/>
    <n v="95788"/>
    <s v="Ayush Sharma"/>
    <s v="Gurugram"/>
    <s v="Haryana"/>
    <n v="27"/>
    <x v="1"/>
    <s v="Pending"/>
    <s v="EMI "/>
  </r>
  <r>
    <s v="C194"/>
    <s v="P194"/>
    <s v="iphone 7"/>
    <s v="Electronics"/>
    <n v="1"/>
    <n v="96564"/>
    <s v="Tanya Bansal"/>
    <s v="Noida"/>
    <s v="Uttar Pradesh"/>
    <n v="25"/>
    <x v="0"/>
    <s v="Pending"/>
    <s v="EMI "/>
  </r>
  <r>
    <s v="C195"/>
    <s v="P195"/>
    <s v="iphone 8 pro max"/>
    <s v="Electronics"/>
    <n v="1"/>
    <n v="97328"/>
    <s v="Arnav Chopra"/>
    <s v="Delhi"/>
    <s v="Delhi"/>
    <n v="29"/>
    <x v="1"/>
    <s v="Pending"/>
    <s v="EMI "/>
  </r>
  <r>
    <s v="C196"/>
    <s v="P196"/>
    <s v="iphone 8 pro"/>
    <s v="Electronics"/>
    <n v="1"/>
    <n v="98080"/>
    <s v="Ira Sethi"/>
    <s v="Noida"/>
    <s v="Uttar Pradesh"/>
    <n v="31"/>
    <x v="1"/>
    <s v="Pending"/>
    <s v="Credit Card"/>
  </r>
  <r>
    <s v="C197"/>
    <s v="P197"/>
    <s v="Iphone 10 pro "/>
    <s v="Electronics"/>
    <n v="1"/>
    <n v="98820"/>
    <s v="Shaurya Jain"/>
    <s v="Delhi"/>
    <s v="Delhi"/>
    <n v="32"/>
    <x v="1"/>
    <s v="Pending"/>
    <s v="EMI "/>
  </r>
  <r>
    <s v="C198"/>
    <s v="P198"/>
    <s v="Iphone 10 pro max"/>
    <s v="Electronics"/>
    <n v="1"/>
    <n v="99548"/>
    <s v="Mahi Mukherjee"/>
    <s v="Gurugram"/>
    <s v="Haryana"/>
    <n v="22"/>
    <x v="0"/>
    <s v="Pending"/>
    <s v="EMI "/>
  </r>
  <r>
    <s v="C199"/>
    <s v="P199"/>
    <s v="Asus Gaming PC"/>
    <s v="Electronics"/>
    <n v="1"/>
    <n v="100264"/>
    <s v="Parth Dubey"/>
    <s v="Gurugram"/>
    <s v="Haryana"/>
    <n v="24"/>
    <x v="0"/>
    <s v="Pending"/>
    <s v="EMI "/>
  </r>
  <r>
    <s v="C200"/>
    <s v="P200"/>
    <s v="Lenovo Gaming PC"/>
    <s v="Electronics"/>
    <n v="1"/>
    <n v="116760"/>
    <s v="Aanya Naidu"/>
    <s v="Surat"/>
    <s v="Gujrat"/>
    <n v="23"/>
    <x v="0"/>
    <s v="Pending"/>
    <s v="EMI "/>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C001"/>
    <s v="P001"/>
    <s v="cartons of reynolds pens"/>
    <s v="Books &amp; Stationeries"/>
    <n v="4"/>
    <n v="4674.7999999999993"/>
    <s v="Aarav Mehta"/>
    <s v="Agartala"/>
    <x v="0"/>
    <n v="21"/>
    <s v="student"/>
    <s v="Delivered"/>
    <s v="Credit Card"/>
  </r>
  <r>
    <s v="C002"/>
    <s v="P002"/>
    <s v="cartons of Uniball pens"/>
    <s v="Books &amp; Stationeries"/>
    <n v="5"/>
    <n v="4478.1000000000004"/>
    <s v="Aditi Patel"/>
    <s v="Agra"/>
    <x v="1"/>
    <n v="22"/>
    <s v="student"/>
    <s v="Delivered"/>
    <s v="UPI"/>
  </r>
  <r>
    <s v="C003"/>
    <s v="P003"/>
    <s v="cartons of flair easy click ballpoint pens"/>
    <s v="Books &amp; Stationeries"/>
    <n v="6"/>
    <n v="1050"/>
    <s v="Arjun Khanna"/>
    <s v="Ahmedabad"/>
    <x v="2"/>
    <n v="21"/>
    <s v="student"/>
    <s v="Delivered"/>
    <s v="Cash on delivery"/>
  </r>
  <r>
    <s v="C004"/>
    <s v="P004"/>
    <s v="cartons of hauser easy click ballpoint pens"/>
    <s v="Books &amp; Stationeries"/>
    <n v="7"/>
    <n v="1950.2"/>
    <s v="Ananya Khanna"/>
    <s v="Aizawl"/>
    <x v="3"/>
    <n v="19"/>
    <s v="student"/>
    <s v="Delivered"/>
    <s v="Cash on delivery"/>
  </r>
  <r>
    <s v="C005"/>
    <s v="P005"/>
    <s v="packet of Godrej Hair color"/>
    <s v="Cosmetics"/>
    <n v="2"/>
    <n v="2250"/>
    <s v="Aditya Kulkarni"/>
    <s v="Ajmer"/>
    <x v="4"/>
    <n v="29"/>
    <s v="working adults"/>
    <s v="Delivered"/>
    <s v="Cash on delivery"/>
  </r>
  <r>
    <s v="C006"/>
    <s v="P006"/>
    <s v="Atta Cookies"/>
    <s v="Confectionaries"/>
    <n v="3"/>
    <n v="4500"/>
    <s v="Ishita Yadav"/>
    <s v="Aligarh "/>
    <x v="1"/>
    <n v="34"/>
    <s v="working adults"/>
    <s v="Delivered"/>
    <s v="Cash on delivery"/>
  </r>
  <r>
    <s v="C007"/>
    <s v="P007"/>
    <s v="Mobile Accessories"/>
    <s v="Electronics"/>
    <n v="4"/>
    <n v="4000"/>
    <s v="Kabir Mathur"/>
    <s v="Amravati"/>
    <x v="5"/>
    <n v="35"/>
    <s v="working adults"/>
    <s v="Delivered"/>
    <s v="Cash on delivery"/>
  </r>
  <r>
    <s v="C008"/>
    <s v="P008"/>
    <s v="Oswal Sample paper books 12th class "/>
    <s v="Books &amp; Stationeries"/>
    <n v="5"/>
    <n v="4375"/>
    <s v="Meera Gupta"/>
    <s v="Amritsar"/>
    <x v="6"/>
    <n v="17"/>
    <s v="student"/>
    <s v="Delivered"/>
    <s v="Cash on delivery"/>
  </r>
  <r>
    <s v="C009"/>
    <s v="P009"/>
    <s v="Oswal Sample paper books 10th class "/>
    <s v="Books &amp; Stationeries"/>
    <n v="1"/>
    <n v="750"/>
    <s v="Rohan Iyer"/>
    <s v="Aurangabad"/>
    <x v="7"/>
    <n v="16"/>
    <s v="student"/>
    <s v="Delivered"/>
    <s v="Cash on delivery"/>
  </r>
  <r>
    <s v="C010"/>
    <s v="P010"/>
    <s v="Lego set buy 2 get 1 free "/>
    <s v="Toys"/>
    <n v="3"/>
    <n v="11250"/>
    <s v="Priya Mishra"/>
    <s v="Bangalore"/>
    <x v="8"/>
    <n v="17"/>
    <s v="student"/>
    <s v="Delivered"/>
    <s v="Cash on delivery"/>
  </r>
  <r>
    <s v="C011"/>
    <s v="P011"/>
    <s v="packet of Kashmiri Walnuts"/>
    <s v="Dry Fruits"/>
    <n v="5"/>
    <n v="15000"/>
    <s v="Rahul Pandey"/>
    <s v="Bareilly"/>
    <x v="1"/>
    <n v="27"/>
    <s v="working adults"/>
    <s v="Pending"/>
    <s v="Credit Card"/>
  </r>
  <r>
    <s v="C012"/>
    <s v="P012"/>
    <s v="dryfruit Container Set"/>
    <s v="Home and kitchen"/>
    <n v="7"/>
    <n v="19320"/>
    <s v="Sneha Srivastava"/>
    <s v="Chandigarh"/>
    <x v="6"/>
    <n v="32"/>
    <s v="working adults"/>
    <s v="Delivered"/>
    <s v="Credit Card"/>
  </r>
  <r>
    <s v="C013"/>
    <s v="P013"/>
    <s v="cuttlery items"/>
    <s v="Home and kitchen"/>
    <n v="9"/>
    <n v="22680"/>
    <s v="Vihaan Dutta"/>
    <s v="Chennai"/>
    <x v="9"/>
    <n v="37"/>
    <s v="working adults"/>
    <s v="Pending"/>
    <s v="Credit Card"/>
  </r>
  <r>
    <s v="C014"/>
    <s v="P014"/>
    <s v="Diet coke can carton"/>
    <s v="Beverages"/>
    <n v="11"/>
    <n v="25080"/>
    <s v="Diya Sood"/>
    <s v="Coimbatore"/>
    <x v="9"/>
    <n v="41"/>
    <s v="working adults"/>
    <s v="Pending"/>
    <s v="Credit Card"/>
  </r>
  <r>
    <s v="C015"/>
    <s v="P015"/>
    <s v="Pepsi can carton"/>
    <s v="Beverages"/>
    <n v="13"/>
    <n v="3900"/>
    <s v="Karan Verma"/>
    <s v="Dehradun"/>
    <x v="10"/>
    <n v="45"/>
    <s v="working adults"/>
    <s v="Delivered"/>
    <s v="Credit Card"/>
  </r>
  <r>
    <s v="C016"/>
    <s v="P016"/>
    <s v="Mountain Dew can carton"/>
    <s v="Beverages"/>
    <n v="15"/>
    <n v="23400"/>
    <s v="Neha Agarwal"/>
    <s v="Dharamshala"/>
    <x v="11"/>
    <n v="43"/>
    <s v="working adults"/>
    <s v="Pending"/>
    <s v="Credit Card"/>
  </r>
  <r>
    <s v="C017"/>
    <s v="P017"/>
    <s v="Thumsup can carton"/>
    <s v="Beverages"/>
    <n v="17"/>
    <n v="63240"/>
    <s v="Aryan Saxena"/>
    <s v="Faridabad"/>
    <x v="12"/>
    <n v="41"/>
    <s v="working adults"/>
    <s v="Delivered"/>
    <s v="Credit Card"/>
  </r>
  <r>
    <s v="C018"/>
    <s v="P018"/>
    <s v="Antique Lion Statue"/>
    <s v="Art and collections"/>
    <n v="19"/>
    <n v="27360"/>
    <s v="Kavya Tiwari"/>
    <s v="Kanpur"/>
    <x v="1"/>
    <n v="57"/>
    <s v="working adults"/>
    <s v="Pending"/>
    <s v="Credit Card"/>
  </r>
  <r>
    <s v="C019"/>
    <s v="P019"/>
    <s v="Apparel Merchandises"/>
    <s v="Apparel"/>
    <n v="21"/>
    <n v="27720"/>
    <s v="Yash Sinha"/>
    <s v="Gurugram"/>
    <x v="12"/>
    <n v="43"/>
    <s v="working adults"/>
    <s v="Pending"/>
    <s v="Credit Card"/>
  </r>
  <r>
    <s v="C020"/>
    <s v="P020"/>
    <s v="Automobile Accessories"/>
    <s v="Automotive"/>
    <n v="5"/>
    <n v="13000"/>
    <s v="Riya Banerjee"/>
    <s v="Kolkata"/>
    <x v="13"/>
    <n v="26"/>
    <s v="working adults"/>
    <s v="Pending"/>
    <s v="Credit Card"/>
  </r>
  <r>
    <s v="C021"/>
    <s v="P021"/>
    <s v="Water Taps"/>
    <s v="Hardware"/>
    <n v="3"/>
    <n v="12150"/>
    <s v="Dev Vohra"/>
    <s v="Amravati"/>
    <x v="5"/>
    <n v="37"/>
    <s v="working adults"/>
    <s v="Delivered"/>
    <s v="Buy Now Pay later"/>
  </r>
  <r>
    <s v="C022"/>
    <s v="P022"/>
    <s v="Redmi Note 4 Mobile Cover"/>
    <s v="Electronics"/>
    <n v="2"/>
    <n v="560"/>
    <s v="Nisha Sharma"/>
    <s v="Rohtak"/>
    <x v="12"/>
    <n v="19"/>
    <s v="student"/>
    <s v="Delivered"/>
    <s v="Cash on delivery"/>
  </r>
  <r>
    <s v="C023"/>
    <s v="P023"/>
    <s v="Micromax Smartphone"/>
    <s v="Electronics"/>
    <n v="1"/>
    <n v="10560"/>
    <s v="Siddharth Bansal"/>
    <s v="Jind"/>
    <x v="12"/>
    <n v="25"/>
    <s v="student"/>
    <s v="Pending"/>
    <s v="Credit Card"/>
  </r>
  <r>
    <s v="C024"/>
    <s v="P024"/>
    <s v="Laptop Charger"/>
    <s v="Electronics"/>
    <n v="4"/>
    <n v="6900"/>
    <s v="Pooja Chopra"/>
    <s v="Rohtak"/>
    <x v="12"/>
    <n v="45"/>
    <s v="working adults"/>
    <s v="Pending"/>
    <s v="Cash on delivery"/>
  </r>
  <r>
    <s v="C025"/>
    <s v="P025"/>
    <s v=" Painting"/>
    <s v="Art and collections"/>
    <n v="2"/>
    <n v="8100"/>
    <s v="Varun Sethi"/>
    <s v="Gurugram"/>
    <x v="12"/>
    <n v="36"/>
    <s v="working adults"/>
    <s v="Pending"/>
    <s v="Credit Card"/>
  </r>
  <r>
    <s v="C026"/>
    <s v="P026"/>
    <s v="cuttlery items"/>
    <s v="Home and kitchen"/>
    <n v="4"/>
    <n v="20800"/>
    <s v="Simran Jain"/>
    <s v="Faridabad"/>
    <x v="12"/>
    <n v="32"/>
    <s v="working adults"/>
    <s v="Pending"/>
    <s v="Buy Now Pay later"/>
  </r>
  <r>
    <s v="C027"/>
    <s v="P027"/>
    <s v="Cricket kit SG"/>
    <s v="Sports &amp; Fitness"/>
    <n v="2"/>
    <n v="14000"/>
    <s v="Aniket Mukherjee"/>
    <s v="Gurugram"/>
    <x v="12"/>
    <n v="17"/>
    <s v="student"/>
    <s v="Delivered"/>
    <s v="Credit Card"/>
  </r>
  <r>
    <s v="C028"/>
    <s v="P028"/>
    <s v="Lego Star wars set"/>
    <s v="Toys"/>
    <n v="6"/>
    <n v="41400"/>
    <s v="Tanvi Dubey"/>
    <s v="Gurugram"/>
    <x v="12"/>
    <n v="16"/>
    <s v="student"/>
    <s v="Delivered"/>
    <s v="EMI "/>
  </r>
  <r>
    <s v="C029"/>
    <s v="P029"/>
    <s v="Ikea Tables"/>
    <s v="Furniture"/>
    <n v="3"/>
    <n v="46800"/>
    <s v="Manav Naidu"/>
    <s v="Bangalore"/>
    <x v="8"/>
    <n v="39"/>
    <s v="working adults"/>
    <s v="Pending"/>
    <s v="Buy Now Pay later"/>
  </r>
  <r>
    <s v="C030"/>
    <s v="P030"/>
    <s v="Hair Care kit for women"/>
    <s v="Cosmetics"/>
    <n v="2"/>
    <n v="34500"/>
    <s v="Shreya Malhotra"/>
    <s v="Bangalore"/>
    <x v="8"/>
    <n v="29"/>
    <s v="working adults"/>
    <s v="Pending"/>
    <s v="EMI "/>
  </r>
  <r>
    <s v="C031"/>
    <s v="P031"/>
    <s v="Nothing Phone 3A"/>
    <s v="Electronics"/>
    <n v="1"/>
    <n v="35650"/>
    <s v="Vivaan Joshi"/>
    <s v="Delhi"/>
    <x v="14"/>
    <n v="31"/>
    <s v="working adults"/>
    <s v="Pending"/>
    <s v="EMI "/>
  </r>
  <r>
    <s v="C032"/>
    <s v="P032"/>
    <s v="Colgate Toothpaste"/>
    <s v="Health &amp; Beauty"/>
    <n v="7"/>
    <n v="6615"/>
    <s v="Avni Chawla"/>
    <s v="Delhi"/>
    <x v="14"/>
    <n v="26"/>
    <s v="working adults"/>
    <s v="Delivered"/>
    <s v="Cash on delivery"/>
  </r>
  <r>
    <s v="C033"/>
    <s v="P033"/>
    <s v="JBL Bluetooth Airpods"/>
    <s v="Electronics"/>
    <n v="8"/>
    <n v="10800"/>
    <s v="Reyansh Goyal"/>
    <s v="Delhi"/>
    <x v="14"/>
    <n v="31"/>
    <s v="working adults"/>
    <s v="Delivered"/>
    <s v="Credit Card"/>
  </r>
  <r>
    <s v="C034"/>
    <s v="P034"/>
    <s v="Boat Earphones"/>
    <s v="Electronics"/>
    <n v="9"/>
    <n v="11340"/>
    <s v="Myra Pillai"/>
    <s v="Delhi"/>
    <x v="14"/>
    <n v="42"/>
    <s v="working adults"/>
    <s v="Pending"/>
    <s v="Credit Card"/>
  </r>
  <r>
    <s v="C035"/>
    <s v="P035"/>
    <s v="Redmi Note 4 smartphone"/>
    <s v="Electronics"/>
    <n v="10"/>
    <n v="125000"/>
    <s v="Krish Tripathi"/>
    <s v="Delhi"/>
    <x v="14"/>
    <n v="52"/>
    <s v="working adults"/>
    <s v="Pending"/>
    <s v="Credit Card"/>
  </r>
  <r>
    <s v="C036"/>
    <s v="P036"/>
    <s v="Jaldhera Water meters"/>
    <s v="Hardware"/>
    <n v="11"/>
    <n v="17160"/>
    <s v="Kiara Bhatt"/>
    <s v="Delhi"/>
    <x v="14"/>
    <n v="37"/>
    <s v="working adults"/>
    <s v="Pending"/>
    <s v="Credit Card"/>
  </r>
  <r>
    <s v="C037"/>
    <s v="P037"/>
    <s v="Kranti Water meters"/>
    <s v="Hardware"/>
    <n v="12"/>
    <n v="36864"/>
    <s v="Atharv Kapoor"/>
    <s v="Delhi"/>
    <x v="14"/>
    <n v="34"/>
    <s v="working adults"/>
    <s v="Delivered"/>
    <s v="Credit Card"/>
  </r>
  <r>
    <s v="C038"/>
    <s v="P038"/>
    <s v="Boat rockerz Bluetooth headbands"/>
    <s v="Electronics"/>
    <n v="13"/>
    <n v="42588"/>
    <s v="Anika Nair"/>
    <s v="Delhi"/>
    <x v="14"/>
    <n v="38"/>
    <s v="working adults"/>
    <s v="Delivered"/>
    <s v="Credit Card"/>
  </r>
  <r>
    <s v="C039"/>
    <s v="P039"/>
    <s v="Milton Thermo Flask Water bottles cartons"/>
    <s v="Drinkware"/>
    <n v="14"/>
    <n v="48608"/>
    <s v="Dhruv Rao"/>
    <s v="Delhi"/>
    <x v="14"/>
    <n v="54"/>
    <s v="working adults"/>
    <s v="Delivered"/>
    <s v="Credit Card"/>
  </r>
  <r>
    <s v="C040"/>
    <s v="P040"/>
    <s v="7up cold drink cartons"/>
    <s v="Beverages"/>
    <n v="11"/>
    <n v="16802.5"/>
    <s v="Saanvi Bhatia"/>
    <s v="Delhi"/>
    <x v="14"/>
    <n v="41"/>
    <s v="working adults"/>
    <s v="Delivered"/>
    <s v="Credit Card"/>
  </r>
  <r>
    <s v="C041"/>
    <s v="P041"/>
    <s v="Ikea Furniture Set"/>
    <s v="Furniture"/>
    <n v="1"/>
    <n v="51750"/>
    <s v="Rudra Menon"/>
    <s v="Delhi"/>
    <x v="14"/>
    <n v="30"/>
    <s v="working adults"/>
    <s v="Delivered"/>
    <s v="Credit Card"/>
  </r>
  <r>
    <s v="C042"/>
    <s v="P042"/>
    <s v="Cooking set"/>
    <s v="Home and kitchen"/>
    <n v="2"/>
    <n v="161000"/>
    <s v="Navya Shukla"/>
    <s v="Gurugram"/>
    <x v="12"/>
    <n v="24"/>
    <s v="student"/>
    <s v="Delivered"/>
    <s v="EMI "/>
  </r>
  <r>
    <s v="C043"/>
    <s v="P043"/>
    <s v="Crockery set"/>
    <s v="Home and kitchen"/>
    <n v="3"/>
    <n v="50700"/>
    <s v="Ayush Ahuja"/>
    <s v="Gurugram"/>
    <x v="12"/>
    <n v="25"/>
    <s v="student"/>
    <s v="Delivered"/>
    <s v="No Cost EMI"/>
  </r>
  <r>
    <s v="C044"/>
    <s v="P044"/>
    <s v="gaming mouse "/>
    <s v="Electronics"/>
    <n v="14"/>
    <n v="245000"/>
    <s v="Tanya Singh"/>
    <s v="Gurugram"/>
    <x v="12"/>
    <n v="27"/>
    <s v="working adults"/>
    <s v="Delivered"/>
    <s v="Credit Card"/>
  </r>
  <r>
    <s v="C045"/>
    <s v="P045"/>
    <s v="Realme P4"/>
    <s v="Electronics"/>
    <n v="10"/>
    <n v="300000"/>
    <s v="Arnav Reddy"/>
    <s v="Gurugram"/>
    <x v="12"/>
    <n v="29"/>
    <s v="working adults"/>
    <s v="Delivered"/>
    <s v="Credit Card"/>
  </r>
  <r>
    <s v="C046"/>
    <s v="P046"/>
    <s v="Mobile Accessories"/>
    <s v="Electronics"/>
    <n v="9"/>
    <n v="18900"/>
    <s v="Ira Das"/>
    <s v="Gurugram"/>
    <x v="12"/>
    <n v="31"/>
    <s v="working adults"/>
    <s v="Delivered"/>
    <s v="Cash on delivery"/>
  </r>
  <r>
    <s v="C047"/>
    <s v="P047"/>
    <s v="Mobile Chargers"/>
    <s v="Electronics"/>
    <n v="8"/>
    <n v="11200"/>
    <s v="Shaurya Arora"/>
    <s v="Gurugram"/>
    <x v="12"/>
    <n v="24"/>
    <s v="student"/>
    <s v="Delivered"/>
    <s v="Cash on delivery"/>
  </r>
  <r>
    <s v="C048"/>
    <s v="P048"/>
    <s v="International Business Indoor Games"/>
    <s v="Toys"/>
    <n v="7"/>
    <n v="13230"/>
    <s v="Mahi Desai"/>
    <s v="Gurugram"/>
    <x v="12"/>
    <n v="15"/>
    <s v="student"/>
    <s v="Delivered"/>
    <s v="Cash on delivery"/>
  </r>
  <r>
    <s v="C049"/>
    <s v="P049"/>
    <s v="Principle of Microecomics N.Gregory Mankiws"/>
    <s v="Books &amp; Stationeries"/>
    <n v="5"/>
    <n v="17500"/>
    <s v="Parth Thakur"/>
    <s v="Gurugram"/>
    <x v="12"/>
    <n v="21"/>
    <s v="student"/>
    <s v="Delivered"/>
    <s v="Cash on delivery"/>
  </r>
  <r>
    <s v="C050"/>
    <s v="P050"/>
    <s v="Camping Kit"/>
    <s v="Sports &amp; Fitness"/>
    <n v="4"/>
    <n v="22400"/>
    <s v="Aanya Kohli"/>
    <s v="Gurugram"/>
    <x v="12"/>
    <n v="31"/>
    <s v="working adults"/>
    <s v="Delivered"/>
    <s v="Cash on delivery"/>
  </r>
  <r>
    <s v="C051"/>
    <s v="P051"/>
    <s v="Kitchen toolset"/>
    <s v="Home and kitchen"/>
    <n v="3"/>
    <n v="12150"/>
    <s v="Aarav Singh"/>
    <s v="Gurugram"/>
    <x v="12"/>
    <n v="39"/>
    <s v="working adults"/>
    <s v="Delivered"/>
    <s v="Credit Card"/>
  </r>
  <r>
    <s v="C052"/>
    <s v="P052"/>
    <s v="One plus 11R"/>
    <s v="Electronics"/>
    <n v="2"/>
    <n v="78000"/>
    <s v="Aditi Reddy"/>
    <s v="Gurugram"/>
    <x v="12"/>
    <n v="45"/>
    <s v="working adults"/>
    <s v="Pending"/>
    <s v="Credit Card"/>
  </r>
  <r>
    <s v="C053"/>
    <s v="P053"/>
    <s v="Redmi Note 5"/>
    <s v="Electronics"/>
    <n v="1"/>
    <n v="19950"/>
    <s v="Arjun Das"/>
    <s v="Gurugram"/>
    <x v="12"/>
    <n v="23"/>
    <s v="student"/>
    <s v="Pending"/>
    <s v="EMI "/>
  </r>
  <r>
    <s v="C054"/>
    <s v="P054"/>
    <s v="Ubon Airpodes"/>
    <s v="Electronics"/>
    <n v="11"/>
    <n v="11880"/>
    <s v="Ananya Arora"/>
    <s v="Gurugram"/>
    <x v="12"/>
    <n v="31"/>
    <s v="working adults"/>
    <s v="Delivered"/>
    <s v="Credit Card"/>
  </r>
  <r>
    <s v="C055"/>
    <s v="P055"/>
    <s v="Ubon wired earphones"/>
    <s v="Electronics"/>
    <n v="12"/>
    <n v="15600"/>
    <s v="Aditya Desai"/>
    <s v="Gurugram"/>
    <x v="12"/>
    <n v="43"/>
    <s v="working adults"/>
    <s v="Delivered"/>
    <s v="Credit Card"/>
  </r>
  <r>
    <s v="C056"/>
    <s v="P056"/>
    <s v="Ubon Headbands"/>
    <s v="Electronics"/>
    <n v="12"/>
    <n v="19152"/>
    <s v="Ishita Thakur"/>
    <s v="Gurugram"/>
    <x v="12"/>
    <n v="30"/>
    <s v="working adults"/>
    <s v="Delivered"/>
    <s v="EMI "/>
  </r>
  <r>
    <s v="C057"/>
    <s v="P057"/>
    <s v="Gaming keyboard"/>
    <s v="Electronics"/>
    <n v="13"/>
    <n v="53820"/>
    <s v="Kabir Kohli"/>
    <s v="Gurugram"/>
    <x v="12"/>
    <n v="21"/>
    <s v="student"/>
    <s v="Pending"/>
    <s v="Credit Card"/>
  </r>
  <r>
    <s v="C058"/>
    <s v="P058"/>
    <s v="Cartons Of screws and other accessories"/>
    <s v="Hardware"/>
    <n v="14"/>
    <n v="85050"/>
    <s v="Meera Mehta"/>
    <s v="Gurugram"/>
    <x v="12"/>
    <n v="23"/>
    <s v="student"/>
    <s v="Pending"/>
    <s v="No Cost EMI"/>
  </r>
  <r>
    <s v="C059"/>
    <s v="P059"/>
    <s v="Dog Toys"/>
    <s v="Pet Supplies"/>
    <n v="15"/>
    <n v="48000"/>
    <s v="Rohan Patel"/>
    <s v="Gurugram"/>
    <x v="12"/>
    <n v="51"/>
    <s v="working adults"/>
    <s v="Delivered"/>
    <s v="Buy Now Pay later"/>
  </r>
  <r>
    <s v="C060"/>
    <s v="P060"/>
    <s v="Real Mixed fruit Juice cartons"/>
    <s v="Beverages"/>
    <n v="16"/>
    <n v="30500"/>
    <s v="Priya Khan"/>
    <s v="Gurugram"/>
    <x v="12"/>
    <n v="34"/>
    <s v="working adults"/>
    <s v="Pending"/>
    <s v="Buy Now Pay later"/>
  </r>
  <r>
    <s v="C061"/>
    <s v="P061"/>
    <s v="Lenovo Gaming PC"/>
    <s v="Electronics"/>
    <n v="1"/>
    <n v="114750"/>
    <s v="Rahul Khanna"/>
    <s v="Gurugram"/>
    <x v="12"/>
    <n v="25"/>
    <s v="student"/>
    <s v="Delivered"/>
    <s v="Credit Card"/>
  </r>
  <r>
    <s v="C062"/>
    <s v="P062"/>
    <s v="Fancy Pencil Box kits"/>
    <s v="Books &amp; Stationeries"/>
    <n v="17"/>
    <n v="11475"/>
    <s v="Sneha Kulkarni"/>
    <s v="Gurugram"/>
    <x v="12"/>
    <n v="31"/>
    <s v="working adults"/>
    <s v="Pending"/>
    <s v="Cash on delivery"/>
  </r>
  <r>
    <s v="C063"/>
    <s v="P063"/>
    <s v="Redmi Note 3"/>
    <s v="Electronics"/>
    <n v="18"/>
    <n v="19440"/>
    <s v="Vihaan Yadav"/>
    <s v="Gurugram"/>
    <x v="12"/>
    <n v="28"/>
    <s v="working adults"/>
    <s v="Pending"/>
    <s v="Cash on delivery"/>
  </r>
  <r>
    <s v="C064"/>
    <s v="P064"/>
    <s v="redmi Note 6"/>
    <s v="Electronics"/>
    <n v="18"/>
    <n v="24300"/>
    <s v="Diya Mathur"/>
    <s v="Gurugram"/>
    <x v="12"/>
    <n v="27"/>
    <s v="working adults"/>
    <s v="Pending"/>
    <s v="Credit Card"/>
  </r>
  <r>
    <s v="C065"/>
    <s v="P065"/>
    <s v="redmi note 2"/>
    <s v="Electronics"/>
    <n v="2"/>
    <n v="78000"/>
    <s v="Karan Gupta"/>
    <s v="Gurugram"/>
    <x v="12"/>
    <n v="21"/>
    <s v="student"/>
    <s v="Pending"/>
    <s v="No Cost EMI"/>
  </r>
  <r>
    <s v="C066"/>
    <s v="P066"/>
    <s v="PowerBank"/>
    <s v="Electronics"/>
    <n v="3"/>
    <n v="15600"/>
    <s v="Neha Iyer"/>
    <s v="Kochi"/>
    <x v="15"/>
    <n v="22"/>
    <s v="student"/>
    <s v="Pending"/>
    <s v="Credit Card"/>
  </r>
  <r>
    <s v="C067"/>
    <s v="P067"/>
    <s v="real apple Juice cartons"/>
    <s v="Beverages"/>
    <n v="4"/>
    <n v="26000"/>
    <s v="Aryan Mishra"/>
    <s v="Coimbatore"/>
    <x v="9"/>
    <n v="26"/>
    <s v="working adults"/>
    <s v="Pending"/>
    <s v="Credit Card"/>
  </r>
  <r>
    <s v="C068"/>
    <s v="P068"/>
    <s v="Sujata Mixer Juicer grinder"/>
    <s v="Home and kitchen"/>
    <n v="5"/>
    <n v="39000"/>
    <s v="Kavya Pandey"/>
    <s v="Kanpur"/>
    <x v="1"/>
    <n v="36"/>
    <s v="working adults"/>
    <s v="Pending"/>
    <s v="Credit Card"/>
  </r>
  <r>
    <s v="C069"/>
    <s v="P069"/>
    <s v="Prestige Pressure Cooker"/>
    <s v="Home and kitchen"/>
    <n v="6"/>
    <n v="8100"/>
    <s v="Yash Srivastava"/>
    <s v="Kanpur"/>
    <x v="1"/>
    <n v="32"/>
    <s v="working adults"/>
    <s v="Pending"/>
    <s v="Cash on delivery"/>
  </r>
  <r>
    <s v="C070"/>
    <s v="P070"/>
    <s v="Prestige Frying Pan"/>
    <s v="Home and kitchen"/>
    <n v="7"/>
    <n v="7560"/>
    <s v="Riya Dutta"/>
    <s v="Lavasa"/>
    <x v="7"/>
    <n v="41"/>
    <s v="working adults"/>
    <s v="Pending"/>
    <s v="Cash on delivery"/>
  </r>
  <r>
    <s v="C071"/>
    <s v="P071"/>
    <s v="Apsara Pencil cartons"/>
    <s v="Books &amp; Stationeries"/>
    <n v="8"/>
    <n v="2240"/>
    <s v="Dev Sood"/>
    <s v="Ludhiana"/>
    <x v="6"/>
    <n v="41"/>
    <s v="working adults"/>
    <s v="Pending"/>
    <s v="Cash on delivery"/>
  </r>
  <r>
    <s v="C072"/>
    <s v="P072"/>
    <s v="Lion Antique Copper Statues"/>
    <s v="Art and collections"/>
    <n v="9"/>
    <n v="49572"/>
    <s v="Nisha Verma"/>
    <s v="Ahmedabad"/>
    <x v="2"/>
    <n v="32"/>
    <s v="working adults"/>
    <s v="Pending"/>
    <s v="Cash on delivery"/>
  </r>
  <r>
    <s v="C073"/>
    <s v="P073"/>
    <s v="Camlin Oil Pastel Cartons"/>
    <s v="Books &amp; Stationeries"/>
    <n v="10"/>
    <n v="19250"/>
    <s v="Siddharth Agarwal"/>
    <s v="Faridabad"/>
    <x v="12"/>
    <n v="26"/>
    <s v="working adults"/>
    <s v="Pending"/>
    <s v="Cash on delivery"/>
  </r>
  <r>
    <s v="C074"/>
    <s v="P074"/>
    <s v="Realme P4"/>
    <s v="Electronics"/>
    <n v="1"/>
    <n v="40500"/>
    <s v="Pooja Saxena"/>
    <s v="Noida"/>
    <x v="1"/>
    <n v="24"/>
    <s v="student"/>
    <s v="Pending"/>
    <s v="Cash on delivery"/>
  </r>
  <r>
    <s v="C075"/>
    <s v="P075"/>
    <s v="Redmi Note 1"/>
    <s v="Electronics"/>
    <n v="2"/>
    <n v="39200"/>
    <s v="Varun Tiwari"/>
    <s v="Meerut"/>
    <x v="1"/>
    <n v="24"/>
    <s v="student"/>
    <s v="Pending"/>
    <s v="Cash on delivery"/>
  </r>
  <r>
    <s v="C076"/>
    <s v="P076"/>
    <s v="Alarm Clocks"/>
    <s v="Home and Lifestyle "/>
    <n v="3"/>
    <n v="4200"/>
    <s v="Simran Sinha"/>
    <s v="Patna"/>
    <x v="16"/>
    <n v="25"/>
    <s v="student"/>
    <s v="Delivered"/>
    <s v="Cash on delivery"/>
  </r>
  <r>
    <s v="C077"/>
    <s v="P077"/>
    <s v="Digital Alarm clocks"/>
    <s v="Electronics"/>
    <n v="4"/>
    <n v="1400"/>
    <s v="Aniket Banerjee"/>
    <s v="Kolkata"/>
    <x v="13"/>
    <n v="26"/>
    <s v="working adults"/>
    <s v="Delivered"/>
    <s v="Cash on delivery"/>
  </r>
  <r>
    <s v="C078"/>
    <s v="P078"/>
    <s v="Kissan Mixedfruit Bread Jam"/>
    <s v="Beverages"/>
    <n v="5"/>
    <n v="1225"/>
    <s v="Tanvi Vohra"/>
    <s v="Kolkata"/>
    <x v="13"/>
    <n v="20"/>
    <s v="student"/>
    <s v="Delivered"/>
    <s v="UPI"/>
  </r>
  <r>
    <s v="C079"/>
    <s v="P079"/>
    <s v="Screw Drivers"/>
    <s v="Hardware"/>
    <n v="6"/>
    <n v="4200"/>
    <s v="Manav Sharma"/>
    <s v="Delhi"/>
    <x v="14"/>
    <n v="32"/>
    <s v="working adults"/>
    <s v="Delivered"/>
    <s v="UPI"/>
  </r>
  <r>
    <s v="C080"/>
    <s v="P080"/>
    <s v="Pliers"/>
    <s v="Hardware"/>
    <n v="7"/>
    <n v="6860"/>
    <s v="Shreya Bansal"/>
    <s v="Amravati"/>
    <x v="5"/>
    <n v="33"/>
    <s v="working adults"/>
    <s v="Delivered"/>
    <s v="UPI"/>
  </r>
  <r>
    <s v="C081"/>
    <s v="P081"/>
    <s v="Peacock Statue"/>
    <s v="Art and collections"/>
    <n v="8"/>
    <n v="13440"/>
    <s v="Vivaan Chopra"/>
    <s v="Noida"/>
    <x v="1"/>
    <n v="45"/>
    <s v="working adults"/>
    <s v="Pending"/>
    <s v="UPI"/>
  </r>
  <r>
    <s v="C082"/>
    <s v="P082"/>
    <s v="Cat statue Showpiece"/>
    <s v="Art and collections"/>
    <n v="9"/>
    <n v="11340"/>
    <s v="Avni Sethi"/>
    <s v="Noida"/>
    <x v="1"/>
    <n v="47"/>
    <s v="working adults"/>
    <s v="Delivered"/>
    <s v="UPI"/>
  </r>
  <r>
    <s v="C083"/>
    <s v="P083"/>
    <s v="Dell Gaming PC"/>
    <s v="Electronics"/>
    <n v="1"/>
    <n v="141750"/>
    <s v="Reyansh Jain"/>
    <s v="Gurugram"/>
    <x v="12"/>
    <n v="27"/>
    <s v="working adults"/>
    <s v="Pending"/>
    <s v="Credit Card"/>
  </r>
  <r>
    <s v="C084"/>
    <s v="P084"/>
    <s v="Cosco professional Cricket kit"/>
    <s v="Sports &amp; Fitness"/>
    <n v="2"/>
    <n v="31250"/>
    <s v="Myra Mukherjee"/>
    <s v="Gurugram"/>
    <x v="12"/>
    <n v="24"/>
    <s v="student"/>
    <s v="Pending"/>
    <s v="Credit Card"/>
  </r>
  <r>
    <s v="C085"/>
    <s v="P085"/>
    <s v="Toor Daal 5 kgs pkt"/>
    <s v="Food and Beverages"/>
    <n v="3"/>
    <n v="1470"/>
    <s v="Krish Dubey"/>
    <s v="Gurugram"/>
    <x v="12"/>
    <n v="29"/>
    <s v="working adults"/>
    <s v="Delivered"/>
    <s v="UPI"/>
  </r>
  <r>
    <s v="C086"/>
    <s v="P086"/>
    <s v="Arhar Daal 4 kgs pkt"/>
    <s v="Food and Beverages"/>
    <n v="4"/>
    <n v="3640"/>
    <s v="Kiara Naidu"/>
    <s v="Chennai"/>
    <x v="9"/>
    <n v="37"/>
    <s v="working adults"/>
    <s v="Delivered"/>
    <s v="UPI"/>
  </r>
  <r>
    <s v="C087"/>
    <s v="P087"/>
    <s v="Sword showpiece collections"/>
    <s v="Home &amp; décor"/>
    <n v="5"/>
    <n v="9425"/>
    <s v="Atharv Malhotra"/>
    <s v="Noida"/>
    <x v="1"/>
    <n v="39"/>
    <s v="working adults"/>
    <s v="Delivered"/>
    <s v="Credit Card"/>
  </r>
  <r>
    <s v="C088"/>
    <s v="P088"/>
    <s v="Jagannath temple Paintings"/>
    <s v="Home &amp; décor"/>
    <n v="7"/>
    <n v="22750"/>
    <s v="Anika Joshi"/>
    <s v="Mumbai"/>
    <x v="7"/>
    <n v="43"/>
    <s v="working adults"/>
    <s v="Delivered"/>
    <s v="Credit Card"/>
  </r>
  <r>
    <s v="C089"/>
    <s v="P089"/>
    <s v="Lenovo Headbands"/>
    <s v="Electronics"/>
    <n v="8"/>
    <n v="8948.7999999999993"/>
    <s v="Dhruv Chawla"/>
    <s v="Delhi"/>
    <x v="14"/>
    <n v="28"/>
    <s v="working adults"/>
    <s v="Pending"/>
    <s v="UPI"/>
  </r>
  <r>
    <s v="C090"/>
    <s v="P090"/>
    <s v="Ubon Airpodes"/>
    <s v="Electronics"/>
    <n v="8"/>
    <n v="12960"/>
    <s v="Saanvi Goyal"/>
    <s v="Gurugram"/>
    <x v="12"/>
    <n v="25"/>
    <s v="student"/>
    <s v="Pending"/>
    <s v="UPI"/>
  </r>
  <r>
    <s v="C091"/>
    <s v="P091"/>
    <s v="Kodak DSLR kit"/>
    <s v="Electronics"/>
    <n v="8"/>
    <n v="35880"/>
    <s v="Rudra Pillai"/>
    <s v="Coimbatore"/>
    <x v="9"/>
    <n v="23"/>
    <s v="student"/>
    <s v="Pending"/>
    <s v="Credit Card"/>
  </r>
  <r>
    <s v="C092"/>
    <s v="P092"/>
    <s v="Crax Cartons"/>
    <s v="Food and Beverages"/>
    <n v="9"/>
    <n v="94770"/>
    <s v="Navya Tripathi"/>
    <s v="Ghaziabad"/>
    <x v="1"/>
    <n v="65"/>
    <s v="Senior Citizen"/>
    <s v="Pending"/>
    <s v="Credit Card"/>
  </r>
  <r>
    <s v="C093"/>
    <s v="P093"/>
    <s v="Drawing and SketchBooks"/>
    <s v="Books &amp; Stationeries"/>
    <n v="6"/>
    <n v="4620"/>
    <s v="Ayush Bhatt"/>
    <s v="Delhi"/>
    <x v="14"/>
    <n v="33"/>
    <s v="working adults"/>
    <s v="Pending"/>
    <s v="Credit Card"/>
  </r>
  <r>
    <s v="C094"/>
    <s v="P094"/>
    <s v="Samsung Airpods"/>
    <s v="Electronics"/>
    <n v="5"/>
    <n v="8400"/>
    <s v="Tanya Kapoor"/>
    <s v="Pune"/>
    <x v="7"/>
    <n v="31"/>
    <s v="working adults"/>
    <s v="Pending"/>
    <s v="UPI"/>
  </r>
  <r>
    <s v="C095"/>
    <s v="P095"/>
    <s v="Penholder"/>
    <s v="Books &amp; Stationeries"/>
    <n v="4"/>
    <n v="1120"/>
    <s v="Arnav Nair"/>
    <s v="Delhi"/>
    <x v="14"/>
    <n v="21"/>
    <s v="student"/>
    <s v="Pending"/>
    <s v="UPI"/>
  </r>
  <r>
    <s v="C096"/>
    <s v="P096"/>
    <s v="packet of Kashmiri Walnuts"/>
    <s v="Dry Fruits"/>
    <n v="3"/>
    <n v="2310"/>
    <s v="Ira Rao"/>
    <s v="Jammu"/>
    <x v="17"/>
    <n v="32"/>
    <s v="working adults"/>
    <s v="Pending"/>
    <s v="UPI"/>
  </r>
  <r>
    <s v="C097"/>
    <s v="P097"/>
    <s v="Noisefit smartwatch buy 2 get one free"/>
    <s v="Electronics"/>
    <n v="3"/>
    <n v="2730"/>
    <s v="Shaurya Bhatia"/>
    <s v="Karnal"/>
    <x v="12"/>
    <n v="33"/>
    <s v="working adults"/>
    <s v="Pending"/>
    <s v="UPI"/>
  </r>
  <r>
    <s v="C098"/>
    <s v="P098"/>
    <s v="Boult Airpods "/>
    <s v="Electronics"/>
    <n v="8"/>
    <n v="33600"/>
    <s v="Mahi Menon"/>
    <s v="Jaipur"/>
    <x v="4"/>
    <n v="30"/>
    <s v="working adults"/>
    <s v="Pending"/>
    <s v="Credit Card"/>
  </r>
  <r>
    <s v="C099"/>
    <s v="P099"/>
    <s v="Camlin Brushpens set"/>
    <s v="Books &amp; Stationeries"/>
    <n v="7"/>
    <n v="6860"/>
    <s v="Parth Shukla"/>
    <s v="Jaipur"/>
    <x v="4"/>
    <n v="22"/>
    <s v="student"/>
    <s v="Pending"/>
    <s v="UPI"/>
  </r>
  <r>
    <s v="C100"/>
    <s v="P100"/>
    <s v="Lava Agni 4 5g"/>
    <s v="Electronics"/>
    <n v="6"/>
    <n v="100050"/>
    <s v="Aanya Ahuja"/>
    <s v="Delhi"/>
    <x v="14"/>
    <n v="25"/>
    <s v="student"/>
    <s v="Pending"/>
    <s v="Credit Card"/>
  </r>
  <r>
    <s v="C101"/>
    <s v="P101"/>
    <s v="Lava Agni 3 5g"/>
    <s v="Electronics"/>
    <n v="5"/>
    <n v="75000"/>
    <s v="Aarav Kapoor"/>
    <s v="Delhi"/>
    <x v="14"/>
    <n v="24"/>
    <s v="student"/>
    <s v="Pending"/>
    <s v="Credit Card"/>
  </r>
  <r>
    <s v="C102"/>
    <s v="P102"/>
    <s v="Poco C85x 5g Smartphone"/>
    <s v="Electronics"/>
    <n v="4"/>
    <n v="52500"/>
    <s v="Aditi Nair"/>
    <s v="Kochi"/>
    <x v="15"/>
    <n v="23"/>
    <s v="student"/>
    <s v="Pending"/>
    <s v="Credit Card"/>
  </r>
  <r>
    <s v="C103"/>
    <s v="P103"/>
    <s v="Redmi A7 pro 5g"/>
    <s v="Electronics"/>
    <n v="5"/>
    <n v="156250"/>
    <s v="Arjun Rao"/>
    <s v="pune"/>
    <x v="7"/>
    <n v="26"/>
    <s v="working adults"/>
    <s v="Pending"/>
    <s v="EMI "/>
  </r>
  <r>
    <s v="C104"/>
    <s v="P104"/>
    <s v="Realme Narzo 80 Lite 5G"/>
    <s v="Electronics"/>
    <n v="3"/>
    <n v="46800"/>
    <s v="Ananya Bhatia"/>
    <s v="Delhi"/>
    <x v="14"/>
    <n v="27"/>
    <s v="working adults"/>
    <s v="Pending"/>
    <s v="No Cost EMI"/>
  </r>
  <r>
    <s v="C105"/>
    <s v="P105"/>
    <s v="Lava Blaze Duo 3 5g"/>
    <s v="Electronics"/>
    <n v="2"/>
    <n v="46000"/>
    <s v="Aditya Menon"/>
    <s v="ghaziabad"/>
    <x v="1"/>
    <n v="27"/>
    <s v="working adults"/>
    <s v="Pending"/>
    <s v="Credit Card"/>
  </r>
  <r>
    <s v="C106"/>
    <s v="P106"/>
    <s v="IQOO Z10 Lite 5G"/>
    <s v="Electronics"/>
    <n v="3"/>
    <n v="111600"/>
    <s v="Ishita Shukla"/>
    <s v="Faridabad"/>
    <x v="12"/>
    <n v="28"/>
    <s v="working adults"/>
    <s v="Pending"/>
    <s v="EMI "/>
  </r>
  <r>
    <s v="C107"/>
    <s v="P107"/>
    <s v="One Plus N6 "/>
    <s v="Electronics"/>
    <n v="4"/>
    <n v="216000"/>
    <s v="Kabir Ahuja"/>
    <s v="Gurugram"/>
    <x v="12"/>
    <n v="29"/>
    <s v="working adults"/>
    <s v="Pending"/>
    <s v="EMI "/>
  </r>
  <r>
    <s v="C108"/>
    <s v="P108"/>
    <s v="Haier 9kg Oceanus Fully Automatic top load washing machine"/>
    <s v="Electronics"/>
    <n v="4"/>
    <n v="172800"/>
    <s v="Meera Singh"/>
    <s v="Delhi"/>
    <x v="14"/>
    <n v="31"/>
    <s v="working adults"/>
    <s v="Pending"/>
    <s v="No Cost EMI"/>
  </r>
  <r>
    <s v="C109"/>
    <s v="P109"/>
    <s v="Crompton geyser 15ltrs"/>
    <s v="Electronics"/>
    <n v="2"/>
    <n v="189000"/>
    <s v="Rohan Reddy"/>
    <s v="Bangalore"/>
    <x v="8"/>
    <n v="32"/>
    <s v="working adults"/>
    <s v="Pending"/>
    <s v="No Cost EMI"/>
  </r>
  <r>
    <s v="C110"/>
    <s v="P110"/>
    <s v="AO Smith Geyser 15ltrs"/>
    <s v="Electronics"/>
    <n v="11"/>
    <n v="223080"/>
    <s v="Priya Das"/>
    <s v="Kolkata"/>
    <x v="13"/>
    <n v="33"/>
    <s v="working adults"/>
    <s v="Pending"/>
    <s v="EMI "/>
  </r>
  <r>
    <s v="C111"/>
    <s v="P111"/>
    <s v="Voltas 1.5 ton 3 star Air Conditioner"/>
    <s v="Electronics"/>
    <n v="22"/>
    <n v="632500"/>
    <s v="Rahul Arora"/>
    <s v="Gurugram"/>
    <x v="12"/>
    <n v="45"/>
    <s v="working adults"/>
    <s v="Pending"/>
    <s v="Buy Now Pay later"/>
  </r>
  <r>
    <s v="C112"/>
    <s v="P112"/>
    <s v="Diesel Mr daddy 2.0 Men's watches"/>
    <s v="Fashion &amp; Acessories"/>
    <n v="13"/>
    <n v="236600"/>
    <s v="Sneha Desai"/>
    <s v="Ghaziabad"/>
    <x v="1"/>
    <n v="44"/>
    <s v="working adults"/>
    <s v="Pending"/>
    <s v="Buy Now Pay later"/>
  </r>
  <r>
    <s v="C113"/>
    <s v="P113"/>
    <s v="Diesel Mr daddy 2.0 stainless steel Men's watches"/>
    <s v="Fashion &amp; Acessories"/>
    <n v="15"/>
    <n v="151875"/>
    <s v="Vihaan Thakur"/>
    <s v="Faridabad"/>
    <x v="12"/>
    <n v="56"/>
    <s v="working adults"/>
    <s v="Pending"/>
    <s v="No Cost EMI"/>
  </r>
  <r>
    <s v="C114"/>
    <s v="P114"/>
    <s v="Tommy hilfiger Men's watches"/>
    <s v="Fashion &amp; Acessories"/>
    <n v="15"/>
    <n v="87750"/>
    <s v="Diya Kohli"/>
    <s v="Delhi"/>
    <x v="14"/>
    <n v="57"/>
    <s v="working adults"/>
    <s v="Pending"/>
    <s v="EMI "/>
  </r>
  <r>
    <s v="C115"/>
    <s v="P115"/>
    <s v="Olev's Men's watches"/>
    <s v="Fashion &amp; Acessories"/>
    <n v="16"/>
    <n v="31320"/>
    <s v="Karan Mehta"/>
    <s v="Surat"/>
    <x v="2"/>
    <n v="58"/>
    <s v="working adults"/>
    <s v="Pending"/>
    <s v="UPI"/>
  </r>
  <r>
    <s v="C116"/>
    <s v="P116"/>
    <s v="Kodak Selfie stick"/>
    <s v="Electronics"/>
    <n v="2"/>
    <n v="31250"/>
    <s v="Neha Patel"/>
    <s v="Surat"/>
    <x v="2"/>
    <n v="61"/>
    <s v="Senior Citizen"/>
    <s v="Pending"/>
    <s v="Credit Card"/>
  </r>
  <r>
    <s v="C117"/>
    <s v="P117"/>
    <s v="Noisefit smartwatch "/>
    <s v="Electronics"/>
    <n v="3"/>
    <n v="14700"/>
    <s v="Aryan Khan"/>
    <s v="Mumbai"/>
    <x v="7"/>
    <n v="31"/>
    <s v="working adults"/>
    <s v="Pending"/>
    <s v="Credit Card"/>
  </r>
  <r>
    <s v="C118"/>
    <s v="P118"/>
    <s v="Apple Iphone AIR 13pro max"/>
    <s v="Electronics"/>
    <n v="4"/>
    <n v="622500"/>
    <s v="Kavya Khanna"/>
    <s v="Delhi"/>
    <x v="14"/>
    <n v="27"/>
    <s v="working adults"/>
    <s v="Delivered"/>
    <s v="Credit Card"/>
  </r>
  <r>
    <s v="C119"/>
    <s v="P119"/>
    <s v="Hero12 Waterproof GoPro"/>
    <s v="Electronics"/>
    <n v="5"/>
    <n v="102600"/>
    <s v="Yash Kulkarni"/>
    <s v="Karnal"/>
    <x v="12"/>
    <n v="43"/>
    <s v="working adults"/>
    <s v="Delivered"/>
    <s v="UPI"/>
  </r>
  <r>
    <s v="C120"/>
    <s v="P120"/>
    <s v="Hero13 Waterproof GoPro"/>
    <s v="Electronics"/>
    <n v="6"/>
    <n v="176737.5"/>
    <s v="Riya Yadav"/>
    <s v="Jind"/>
    <x v="12"/>
    <n v="44"/>
    <s v="working adults"/>
    <s v="Delivered"/>
    <s v="Credit Card"/>
  </r>
  <r>
    <s v="C121"/>
    <s v="P121"/>
    <s v="hero12 Waterproof GoPro special Bundle"/>
    <s v="Electronics"/>
    <n v="7"/>
    <n v="563500"/>
    <s v="Dev Mathur"/>
    <s v="Rohtak"/>
    <x v="12"/>
    <n v="41"/>
    <s v="working adults"/>
    <s v="Delivered"/>
    <s v="Credit Card"/>
  </r>
  <r>
    <s v="C122"/>
    <s v="P122"/>
    <s v="Owl Showpiece Statues"/>
    <s v="Home &amp; décor"/>
    <n v="8"/>
    <n v="80000"/>
    <s v="Nisha Gupta"/>
    <s v="Varanasi"/>
    <x v="1"/>
    <n v="44"/>
    <s v="working adults"/>
    <s v="Delivered"/>
    <s v="Credit Card"/>
  </r>
  <r>
    <s v="C123"/>
    <s v="P123"/>
    <s v="Peacock Showpiece Statue"/>
    <s v="Home &amp; décor"/>
    <n v="9"/>
    <n v="113850"/>
    <s v="Siddharth Iyer"/>
    <s v="Vishakhapatnam"/>
    <x v="5"/>
    <n v="45"/>
    <s v="working adults"/>
    <s v="Delivered"/>
    <s v="Credit Card"/>
  </r>
  <r>
    <s v="C124"/>
    <s v="P124"/>
    <s v="Persian Carpet Red and White"/>
    <s v="Home &amp; décor"/>
    <n v="8"/>
    <n v="140000"/>
    <s v="Pooja Mishra"/>
    <s v="Ayodhya"/>
    <x v="1"/>
    <n v="45"/>
    <s v="working adults"/>
    <s v="Delivered"/>
    <s v="Credit Card"/>
  </r>
  <r>
    <s v="C125"/>
    <s v="P125"/>
    <s v="Persian Carpet blue and White"/>
    <s v="Home &amp; décor"/>
    <n v="9"/>
    <n v="175950"/>
    <s v="Varun Pandey"/>
    <s v="Ayodhya"/>
    <x v="1"/>
    <n v="45"/>
    <s v="working adults"/>
    <s v="Delivered"/>
    <s v="EMI "/>
  </r>
  <r>
    <s v="C126"/>
    <s v="P126"/>
    <s v="Gold Necklace Kalyan Jewlers"/>
    <s v="Jewelry"/>
    <n v="8"/>
    <n v="200000"/>
    <s v="Simran Srivastava"/>
    <s v="Ghaziabad"/>
    <x v="1"/>
    <n v="46"/>
    <s v="working adults"/>
    <s v="Delivered"/>
    <s v="EMI "/>
  </r>
  <r>
    <s v="C127"/>
    <s v="P127"/>
    <s v="Ivory Showpiece"/>
    <s v="Home &amp; décor"/>
    <n v="9"/>
    <n v="238050"/>
    <s v="Aniket Dutta"/>
    <s v="Noida"/>
    <x v="1"/>
    <n v="34"/>
    <s v="working adults"/>
    <s v="Delivered"/>
    <s v="EMI "/>
  </r>
  <r>
    <s v="C128"/>
    <s v="P128"/>
    <s v="Behoma Pure Brass Kalpvriksh Tree with Birds statue"/>
    <s v="Home &amp; décor"/>
    <n v="8"/>
    <n v="260000"/>
    <s v="Tanvi Sood"/>
    <s v="Chandigarh"/>
    <x v="12"/>
    <n v="32"/>
    <s v="working adults"/>
    <s v="Delivered"/>
    <s v="EMI "/>
  </r>
  <r>
    <s v="C129"/>
    <s v="P129"/>
    <s v="Behoma Pure Brass Kalpvriksh Tree with Birds statue"/>
    <s v="Home &amp; décor"/>
    <n v="9"/>
    <n v="300150"/>
    <s v="Manav Verma"/>
    <s v="Chandigarh"/>
    <x v="12"/>
    <n v="37"/>
    <s v="working adults"/>
    <s v="Delivered"/>
    <s v="EMI "/>
  </r>
  <r>
    <s v="C130"/>
    <s v="P130"/>
    <s v="GoPro MAX2 true 8k waterproof"/>
    <s v="Electronics"/>
    <n v="9"/>
    <n v="360000"/>
    <s v="Shreya Agarwal"/>
    <s v="Delhi"/>
    <x v="14"/>
    <n v="35"/>
    <s v="working adults"/>
    <s v="Pending"/>
    <s v="EMI "/>
  </r>
  <r>
    <s v="C131"/>
    <s v="P131"/>
    <s v="Sliver Plated Rearing Horse Statue"/>
    <s v="Home &amp; décor"/>
    <n v="9"/>
    <n v="434700"/>
    <s v="Vivaan Saxena"/>
    <s v="Delhi"/>
    <x v="14"/>
    <n v="43"/>
    <s v="working adults"/>
    <s v="Pending"/>
    <s v="EMI "/>
  </r>
  <r>
    <s v="C132"/>
    <s v="P132"/>
    <s v="Gold plated rearing Horse Statue "/>
    <s v="Art and collections"/>
    <n v="8"/>
    <n v="419520"/>
    <s v="Avni Tiwari"/>
    <s v="Delhi"/>
    <x v="14"/>
    <n v="45"/>
    <s v="working adults"/>
    <s v="Pending"/>
    <s v="EMI "/>
  </r>
  <r>
    <s v="C133"/>
    <s v="P133"/>
    <s v="Platinum Plated 7 rearing Horse Statue"/>
    <s v="Art and collections"/>
    <n v="7"/>
    <n v="344400"/>
    <s v="Reyansh Sinha"/>
    <s v="Delhi"/>
    <x v="14"/>
    <n v="44"/>
    <s v="working adults"/>
    <s v="Pending"/>
    <s v="EMI "/>
  </r>
  <r>
    <s v="C134"/>
    <s v="P134"/>
    <s v="Gold Plated 7 rearing Horse Statue"/>
    <s v="Art and collections"/>
    <n v="2"/>
    <n v="123500"/>
    <s v="Myra Banerjee"/>
    <s v="Kolkata"/>
    <x v="13"/>
    <n v="32"/>
    <s v="working adults"/>
    <s v="Pending"/>
    <s v="EMI "/>
  </r>
  <r>
    <s v="C135"/>
    <s v="P135"/>
    <s v="Gold Plated 2 rearing Horse Statue"/>
    <s v="Art and collections"/>
    <n v="2"/>
    <n v="122500"/>
    <s v="Krish Vohra"/>
    <s v="Mumbai"/>
    <x v="7"/>
    <n v="45"/>
    <s v="working adults"/>
    <s v="Pending"/>
    <s v="EMI "/>
  </r>
  <r>
    <s v="C136"/>
    <s v="P136"/>
    <s v="Silver Plated 2 Rearing Horse Statue"/>
    <s v="Art and collections"/>
    <n v="2"/>
    <n v="123600"/>
    <s v="Kiara Sharma"/>
    <s v="Pune"/>
    <x v="7"/>
    <n v="43"/>
    <s v="working adults"/>
    <s v="Pending"/>
    <s v="Credit Card"/>
  </r>
  <r>
    <s v="C137"/>
    <s v="P137"/>
    <s v="LG Smart LED TV"/>
    <s v="Electronics"/>
    <n v="1"/>
    <n v="89250"/>
    <s v="Atharv Bansal"/>
    <s v="Chandigarh"/>
    <x v="12"/>
    <n v="39"/>
    <s v="working adults"/>
    <s v="Pending"/>
    <s v="EMI "/>
  </r>
  <r>
    <s v="C138"/>
    <s v="P138"/>
    <s v="Redmi Smart LED TV"/>
    <s v="Electronics"/>
    <n v="1"/>
    <n v="97200"/>
    <s v="Anika Chopra"/>
    <s v="Noida"/>
    <x v="1"/>
    <n v="40"/>
    <s v="working adults"/>
    <s v="Pending"/>
    <s v="EMI "/>
  </r>
  <r>
    <s v="C139"/>
    <s v="P139"/>
    <s v="Pure Silver Plated Kamdhenu Cow statue"/>
    <s v="Home &amp; décor"/>
    <n v="2"/>
    <n v="128800"/>
    <s v="Dhruv Sethi"/>
    <s v="Ghaziabad"/>
    <x v="1"/>
    <n v="43"/>
    <s v="working adults"/>
    <s v="Pending"/>
    <s v="EMI "/>
  </r>
  <r>
    <s v="C140"/>
    <s v="P140"/>
    <s v="One plus Nord 6"/>
    <s v="Electronics"/>
    <n v="1"/>
    <n v="47250"/>
    <s v="Saanvi Jain"/>
    <s v="Kanpur"/>
    <x v="1"/>
    <n v="41"/>
    <s v="working adults"/>
    <s v="Pending"/>
    <s v="Credit Card"/>
  </r>
  <r>
    <s v="C141"/>
    <s v="P141"/>
    <s v="Victorinox Automatic swiss made watches"/>
    <s v="Fashion &amp; Acessories"/>
    <n v="3"/>
    <n v="94080"/>
    <s v="Rudra Mukherjee"/>
    <s v="Aurangabad"/>
    <x v="7"/>
    <n v="34"/>
    <s v="working adults"/>
    <s v="Pending"/>
    <s v="EMI "/>
  </r>
  <r>
    <s v="C142"/>
    <s v="P142"/>
    <s v="HP Victus Gaming Laptop"/>
    <s v="Electronics"/>
    <n v="1"/>
    <n v="281750"/>
    <s v="Navya Dubey"/>
    <s v="Aligarh "/>
    <x v="1"/>
    <n v="26"/>
    <s v="working adults"/>
    <s v="Pending"/>
    <s v="EMI "/>
  </r>
  <r>
    <s v="C143"/>
    <s v="P143"/>
    <s v="Oneplus Nord 6 smartphone"/>
    <s v="Electronics"/>
    <n v="2"/>
    <n v="79577.7"/>
    <s v="Ayush Naidu"/>
    <s v="Vizag"/>
    <x v="7"/>
    <n v="25"/>
    <s v="student"/>
    <s v="Pending"/>
    <s v="EMI "/>
  </r>
  <r>
    <s v="C144"/>
    <s v="P144"/>
    <s v="Canon EOS R100 DSLR"/>
    <s v="Electronics"/>
    <n v="3"/>
    <n v="164203.19999999998"/>
    <s v="Tanya Malhotra"/>
    <s v="Faridabad"/>
    <x v="12"/>
    <n v="29"/>
    <s v="working adults"/>
    <s v="Pending"/>
    <s v="Credit Card"/>
  </r>
  <r>
    <s v="C145"/>
    <s v="P145"/>
    <s v="Pure Silver Plated Kamdhenu Cow and calf statue"/>
    <s v="Art and collections"/>
    <n v="4"/>
    <n v="61725"/>
    <s v="Arnav Joshi"/>
    <s v="Kannauj"/>
    <x v="1"/>
    <n v="30"/>
    <s v="working adults"/>
    <s v="Pending"/>
    <s v="EMI "/>
  </r>
  <r>
    <s v="C146"/>
    <s v="P146"/>
    <s v="Samsung Galaxy M56 smartphone"/>
    <s v="Electronics"/>
    <n v="1"/>
    <n v="39000"/>
    <s v="Ira Chawla"/>
    <s v="Rohtak"/>
    <x v="12"/>
    <n v="32"/>
    <s v="working adults"/>
    <s v="Pending"/>
    <s v="EMI "/>
  </r>
  <r>
    <s v="C147"/>
    <s v="P147"/>
    <s v="Pure Platinum Plated Kamdhenu Cow statue"/>
    <s v="Art and collections"/>
    <n v="3"/>
    <n v="117180"/>
    <s v="Shaurya Goyal"/>
    <s v="Sonipat"/>
    <x v="12"/>
    <n v="31"/>
    <s v="working adults"/>
    <s v="Pending"/>
    <s v="EMI "/>
  </r>
  <r>
    <s v="C148"/>
    <s v="P148"/>
    <s v="Pure Platinum Plated Kamdhenu Cow and calf  statue"/>
    <s v="Home &amp; décor"/>
    <n v="3"/>
    <n v="110400"/>
    <s v="Mahi Pillai"/>
    <s v="Vizag"/>
    <x v="5"/>
    <n v="33"/>
    <s v="working adults"/>
    <s v="Pending"/>
    <s v="EMI "/>
  </r>
  <r>
    <s v="C149"/>
    <s v="P149"/>
    <s v="Pure Platinum 4 Rearing Horses Statues"/>
    <s v="Art and collections"/>
    <n v="3"/>
    <n v="103950"/>
    <s v="Parth Tripathi"/>
    <s v="Panipat"/>
    <x v="12"/>
    <n v="32"/>
    <s v="working adults"/>
    <s v="Pending"/>
    <s v="EMI "/>
  </r>
  <r>
    <s v="C150"/>
    <s v="P150"/>
    <s v="Pure Gold 2 Rearing Horses Statues"/>
    <s v="Art and collections"/>
    <n v="3"/>
    <n v="117300"/>
    <s v="Aanya Bhatt"/>
    <s v="Baghpat"/>
    <x v="12"/>
    <n v="23"/>
    <s v="student"/>
    <s v="Pending"/>
    <s v="EMI "/>
  </r>
  <r>
    <s v="C151"/>
    <s v="P151"/>
    <s v="Pure Gold 3 Rearing Horses Statues"/>
    <s v="Art and collections"/>
    <n v="4"/>
    <n v="161000"/>
    <s v="Aarav Malhotra"/>
    <s v="ghaziabad"/>
    <x v="1"/>
    <n v="26"/>
    <s v="working adults"/>
    <s v="Pending"/>
    <s v="Credit Card"/>
  </r>
  <r>
    <s v="C152"/>
    <s v="P152"/>
    <s v="Pure Gold 4 Rearing Horses Statues"/>
    <s v="Art and collections"/>
    <n v="4"/>
    <n v="187200"/>
    <s v="Aditi Joshi"/>
    <s v="Delhi"/>
    <x v="14"/>
    <n v="27"/>
    <s v="working adults"/>
    <s v="Pending"/>
    <s v="Credit Card"/>
  </r>
  <r>
    <s v="C153"/>
    <s v="P153"/>
    <s v="Pure Gold 5  Rearing Horses Statues"/>
    <s v="Art and collections"/>
    <n v="4"/>
    <n v="185000"/>
    <s v="Arjun Chawla"/>
    <s v="Mumbai"/>
    <x v="7"/>
    <n v="31"/>
    <s v="working adults"/>
    <s v="Pending"/>
    <s v="EMI "/>
  </r>
  <r>
    <s v="C154"/>
    <s v="P154"/>
    <s v="Pure Gold 5 Rearing Horses Statues"/>
    <s v="Art and collections"/>
    <n v="4"/>
    <n v="197600"/>
    <s v="Ananya Goyal"/>
    <s v="Meerut"/>
    <x v="1"/>
    <n v="32"/>
    <s v="working adults"/>
    <s v="Pending"/>
    <s v="EMI "/>
  </r>
  <r>
    <s v="C155"/>
    <s v="P155"/>
    <s v="Pure Gold 3 Rearing Horses Statues"/>
    <s v="Art and collections"/>
    <n v="4"/>
    <n v="198120"/>
    <s v="Aditya Pillai"/>
    <s v="Gurugram"/>
    <x v="12"/>
    <n v="37"/>
    <s v="working adults"/>
    <s v="Pending"/>
    <s v="EMI "/>
  </r>
  <r>
    <s v="C156"/>
    <s v="P156"/>
    <s v="Pure Gold 6 Rearing Horses Statues"/>
    <s v="Art and collections"/>
    <n v="4"/>
    <n v="201600"/>
    <s v="Ishita Dagar"/>
    <s v="Rohtak"/>
    <x v="12"/>
    <n v="65"/>
    <s v="Senior Citizen"/>
    <s v="Pending"/>
    <s v="Buy Now Pay later"/>
  </r>
  <r>
    <s v="C157"/>
    <s v="P157"/>
    <s v="Pure Gold  Rearing Horse Statues"/>
    <s v="Art and collections"/>
    <n v="5"/>
    <n v="254200"/>
    <s v="Kabir Bhatt"/>
    <s v="Srinagar"/>
    <x v="17"/>
    <n v="66"/>
    <s v="Senior Citizen"/>
    <s v="Pending"/>
    <s v="EMI "/>
  </r>
  <r>
    <s v="C158"/>
    <s v="P158"/>
    <s v="Pure Silver 4 Rearing Horses Statues"/>
    <s v="Art and collections"/>
    <n v="5"/>
    <n v="268800"/>
    <s v="Meera Kapoor"/>
    <s v="Srinagar"/>
    <x v="17"/>
    <n v="29"/>
    <s v="working adults"/>
    <s v="Pending"/>
    <s v="EMI "/>
  </r>
  <r>
    <s v="C159"/>
    <s v="P159"/>
    <s v="Pure Silver 2 rearing Horses Statues"/>
    <s v="Art and collections"/>
    <n v="5"/>
    <n v="277350"/>
    <s v="Rohan Nair"/>
    <s v="Vizag"/>
    <x v="5"/>
    <n v="32"/>
    <s v="working adults"/>
    <s v="Pending"/>
    <s v="Credit Card"/>
  </r>
  <r>
    <s v="C160"/>
    <s v="P160"/>
    <s v="Pure Platinum 4 Rearing Horses Statues"/>
    <s v="Art and collections"/>
    <n v="5"/>
    <n v="220000"/>
    <s v="Priya Rao"/>
    <s v="Faridabad"/>
    <x v="12"/>
    <n v="35"/>
    <s v="working adults"/>
    <s v="Pending"/>
    <s v="EMI "/>
  </r>
  <r>
    <s v="C161"/>
    <s v="P161"/>
    <s v="Pure Platinum 4 Rearing Horses Statues"/>
    <s v="Art and collections"/>
    <n v="5"/>
    <n v="225000"/>
    <s v="Rahul Bhatia"/>
    <s v="Chandigarh"/>
    <x v="12"/>
    <n v="27"/>
    <s v="working adults"/>
    <s v="Pending"/>
    <s v="Credit Card"/>
  </r>
  <r>
    <s v="C162"/>
    <s v="P162"/>
    <s v="Pure Platinum 4 Rearing Horses Statues"/>
    <s v="Home &amp; décor"/>
    <n v="5"/>
    <n v="230000"/>
    <s v="Sneha Menon"/>
    <s v="Kannauj"/>
    <x v="1"/>
    <n v="25"/>
    <s v="student"/>
    <s v="Pending"/>
    <s v="EMI "/>
  </r>
  <r>
    <s v="C163"/>
    <s v="P163"/>
    <s v="Pure Platinum 4 Rearing Horses Statues"/>
    <s v="Home &amp; décor"/>
    <n v="5"/>
    <n v="282000"/>
    <s v="Vihaan Shukla"/>
    <s v="Faridabad"/>
    <x v="12"/>
    <n v="29"/>
    <s v="working adults"/>
    <s v="Pending"/>
    <s v="EMI "/>
  </r>
  <r>
    <s v="C164"/>
    <s v="P164"/>
    <s v="Pure Platinum 4 Rearing Horses Statues"/>
    <s v="Home &amp; décor"/>
    <n v="5"/>
    <n v="325200"/>
    <s v="Diya Ahuja"/>
    <s v="Chandigarh"/>
    <x v="12"/>
    <n v="26"/>
    <s v="working adults"/>
    <s v="Pending"/>
    <s v="EMI "/>
  </r>
  <r>
    <s v="C165"/>
    <s v="P165"/>
    <s v="Pure Platinum 4 Rearing Horses Statues"/>
    <s v="Home &amp; décor"/>
    <n v="5"/>
    <n v="329525"/>
    <s v="Karan Singh"/>
    <s v="Gorakhpur"/>
    <x v="1"/>
    <n v="24"/>
    <s v="student"/>
    <s v="Pending"/>
    <s v="EMI "/>
  </r>
  <r>
    <s v="C166"/>
    <s v="P166"/>
    <s v="Samsung Refrigerator"/>
    <s v="Electronics"/>
    <n v="5"/>
    <n v="250000"/>
    <s v="Neha Reddy"/>
    <s v="Bareilly"/>
    <x v="1"/>
    <n v="21"/>
    <s v="student"/>
    <s v="Pending"/>
    <s v="EMI "/>
  </r>
  <r>
    <s v="C167"/>
    <s v="P167"/>
    <s v="Samsung Refrigerator"/>
    <s v="Electronics"/>
    <n v="5"/>
    <n v="331500"/>
    <s v="Aryan Das"/>
    <s v="Kolkata"/>
    <x v="13"/>
    <n v="31"/>
    <s v="working adults"/>
    <s v="Pending"/>
    <s v="EMI "/>
  </r>
  <r>
    <s v="C168"/>
    <s v="P168"/>
    <s v="LG Refrigerator"/>
    <s v="Electronics"/>
    <n v="6"/>
    <n v="405600"/>
    <s v="Kavya Arora"/>
    <s v="Gurugram"/>
    <x v="12"/>
    <n v="34"/>
    <s v="working adults"/>
    <s v="Pending"/>
    <s v="EMI "/>
  </r>
  <r>
    <s v="C169"/>
    <s v="P169"/>
    <s v="Voltas Refrigerator"/>
    <s v="Electronics"/>
    <n v="6"/>
    <n v="403860"/>
    <s v="Yash Desai"/>
    <s v="Gorakhpur"/>
    <x v="1"/>
    <n v="45"/>
    <s v="working adults"/>
    <s v="Pending"/>
    <s v="EMI "/>
  </r>
  <r>
    <s v="C170"/>
    <s v="P170"/>
    <s v="Samsung Refrigerator"/>
    <s v="Electronics"/>
    <n v="7"/>
    <n v="498960"/>
    <s v="Riya Thakur"/>
    <s v="Lucknow"/>
    <x v="1"/>
    <n v="42"/>
    <s v="working adults"/>
    <s v="Pending"/>
    <s v="EMI "/>
  </r>
  <r>
    <s v="C171"/>
    <s v="P171"/>
    <s v="Tredmills"/>
    <s v="Sports &amp; Fitness"/>
    <n v="6"/>
    <n v="448800"/>
    <s v="Dev Kohli"/>
    <s v="Faridabad"/>
    <x v="12"/>
    <n v="41"/>
    <s v="working adults"/>
    <s v="Pending"/>
    <s v="EMI "/>
  </r>
  <r>
    <s v="C172"/>
    <s v="P172"/>
    <s v="Premium Alloy Wheel set"/>
    <s v="Automotive"/>
    <n v="5"/>
    <n v="378000"/>
    <s v="Nishant Nagar"/>
    <s v="Baghpat"/>
    <x v="12"/>
    <n v="40"/>
    <s v="working adults"/>
    <s v="Pending"/>
    <s v="EMI "/>
  </r>
  <r>
    <s v="C173"/>
    <s v="P173"/>
    <s v="Samsung Luxury Home theater system"/>
    <s v="Electronics"/>
    <n v="4"/>
    <n v="296400"/>
    <s v="Siddharth Patel"/>
    <s v="Surat"/>
    <x v="2"/>
    <n v="43"/>
    <s v="working adults"/>
    <s v="Pending"/>
    <s v="EMI "/>
  </r>
  <r>
    <s v="C174"/>
    <s v="P174"/>
    <s v="Pure Platinum 4 Rearing Horses Statues"/>
    <s v="Home &amp; décor"/>
    <n v="3"/>
    <n v="222720"/>
    <s v="Pooja Khanna"/>
    <s v="Delhi"/>
    <x v="14"/>
    <n v="34"/>
    <s v="working adults"/>
    <s v="Pending"/>
    <s v="EMI "/>
  </r>
  <r>
    <s v="C175"/>
    <s v="P175"/>
    <s v="Pure Platinum 4 Rearing Horses Statues"/>
    <s v="Home &amp; décor"/>
    <n v="2"/>
    <n v="149860"/>
    <s v="Varun Khanna"/>
    <s v="Delhi"/>
    <x v="14"/>
    <n v="40"/>
    <s v="working adults"/>
    <s v="Pending"/>
    <s v="EMI "/>
  </r>
  <r>
    <s v="C176"/>
    <s v="P176"/>
    <s v="Acer Gaming Laptop"/>
    <s v="Electronics"/>
    <n v="1"/>
    <n v="75000"/>
    <s v="Simran Kulkarni"/>
    <s v="Nashik"/>
    <x v="7"/>
    <n v="31"/>
    <s v="working adults"/>
    <s v="Pending"/>
    <s v="EMI "/>
  </r>
  <r>
    <s v="C177"/>
    <s v="P177"/>
    <s v="Quartz Sculpture"/>
    <s v="Art and collections"/>
    <n v="2"/>
    <n v="146400"/>
    <s v="Aniket Yadav"/>
    <s v="Vadodra"/>
    <x v="2"/>
    <n v="40"/>
    <s v="working adults"/>
    <s v="Pending"/>
    <s v="EMI "/>
  </r>
  <r>
    <s v="C178"/>
    <s v="P178"/>
    <s v="AMO Electric Scooter"/>
    <s v="Automotive"/>
    <n v="1"/>
    <n v="74400"/>
    <s v="Tanvi Mathur"/>
    <s v="Nangloi"/>
    <x v="12"/>
    <n v="35"/>
    <s v="working adults"/>
    <s v="Pending"/>
    <s v="EMI "/>
  </r>
  <r>
    <s v="C179"/>
    <s v="P179"/>
    <s v="Brass Lord Buddha Statue"/>
    <s v="Art and collections"/>
    <n v="1"/>
    <n v="81900"/>
    <s v="Manav Gupta"/>
    <s v="Delhi"/>
    <x v="14"/>
    <n v="36"/>
    <s v="working adults"/>
    <s v="Pending"/>
    <s v="EMI "/>
  </r>
  <r>
    <s v="C180"/>
    <s v="P180"/>
    <s v="Gold Lord Buddha Statue"/>
    <s v="Art and collections"/>
    <n v="1"/>
    <n v="83200"/>
    <s v="Shreya Iyer"/>
    <s v="Vizag"/>
    <x v="5"/>
    <n v="28"/>
    <s v="working adults"/>
    <s v="Pending"/>
    <s v="EMI "/>
  </r>
  <r>
    <s v="C181"/>
    <s v="P181"/>
    <s v="Sliver Lord Buddha Statue"/>
    <s v="Art and collections"/>
    <n v="1"/>
    <n v="81250"/>
    <s v="Vivaan Mishra"/>
    <s v="Kannauj"/>
    <x v="1"/>
    <n v="26"/>
    <s v="working adults"/>
    <s v="Pending"/>
    <s v="EMI "/>
  </r>
  <r>
    <s v="C182"/>
    <s v="P182"/>
    <s v="Platinum Lord Buddha Statue"/>
    <s v="Art and collections"/>
    <n v="1"/>
    <n v="75900"/>
    <s v="Avni Pandey"/>
    <s v="Varanasi"/>
    <x v="1"/>
    <n v="25"/>
    <s v="student"/>
    <s v="Pending"/>
    <s v="Credit Card"/>
  </r>
  <r>
    <s v="C183"/>
    <s v="P183"/>
    <s v="Black Adiyogi Mahadeva Statue"/>
    <s v="Art and collections"/>
    <n v="1"/>
    <n v="87100"/>
    <s v="Reyansh Srivastava"/>
    <s v="Ayodhya"/>
    <x v="1"/>
    <n v="29"/>
    <s v="working adults"/>
    <s v="Pending"/>
    <s v="Credit Card"/>
  </r>
  <r>
    <s v="C184"/>
    <s v="P184"/>
    <s v="Pure Brass Natarajan Statue"/>
    <s v="Art and collections"/>
    <n v="1"/>
    <n v="88400"/>
    <s v="Myra Dutta"/>
    <s v="Gorakhpur"/>
    <x v="1"/>
    <n v="29"/>
    <s v="working adults"/>
    <s v="Pending"/>
    <s v="Credit Card"/>
  </r>
  <r>
    <s v="C185"/>
    <s v="P185"/>
    <s v="Pure Platinum Natarajan Statue "/>
    <s v="Art and collections"/>
    <n v="1"/>
    <n v="93150"/>
    <s v="Krish Sood"/>
    <s v="Amritsar"/>
    <x v="6"/>
    <n v="31"/>
    <s v="working adults"/>
    <s v="Pending"/>
    <s v="Credit Card"/>
  </r>
  <r>
    <s v="C186"/>
    <s v="P186"/>
    <s v="Ikea Furniture Set"/>
    <s v="Furniture"/>
    <n v="1"/>
    <n v="91000"/>
    <s v="Kiara Verma"/>
    <s v="Panipat"/>
    <x v="12"/>
    <n v="31"/>
    <s v="working adults"/>
    <s v="Pending"/>
    <s v="EMI "/>
  </r>
  <r>
    <s v="C187"/>
    <s v="P187"/>
    <s v="Cricket kit MRF"/>
    <s v="Sports &amp; Fitness"/>
    <n v="1"/>
    <n v="95850"/>
    <s v="Atharv Agarwal"/>
    <s v="Sonipat"/>
    <x v="12"/>
    <n v="26"/>
    <s v="working adults"/>
    <s v="Pending"/>
    <s v="EMI "/>
  </r>
  <r>
    <s v="C188"/>
    <s v="P188"/>
    <s v="Macbook"/>
    <s v="Electronics"/>
    <n v="1"/>
    <n v="92160"/>
    <s v="Anika Saxena"/>
    <s v="Gurugram"/>
    <x v="12"/>
    <n v="23"/>
    <s v="student"/>
    <s v="Pending"/>
    <s v="EMI "/>
  </r>
  <r>
    <s v="C189"/>
    <s v="P189"/>
    <s v="LG 2.5 Ton 5 star AC"/>
    <s v="Electronics"/>
    <n v="1"/>
    <n v="91250"/>
    <s v="Dhruv Tiwari"/>
    <s v="Baghpat"/>
    <x v="12"/>
    <n v="21"/>
    <s v="student"/>
    <s v="Pending"/>
    <s v="EMI "/>
  </r>
  <r>
    <s v="C190"/>
    <s v="P190"/>
    <s v="Nikon D7500 DSLR"/>
    <s v="Electronics"/>
    <n v="1"/>
    <n v="94720"/>
    <s v="Saanvi Sinha"/>
    <s v="Kanpur"/>
    <x v="1"/>
    <n v="24"/>
    <s v="student"/>
    <s v="Pending"/>
    <s v="EMI "/>
  </r>
  <r>
    <s v="C191"/>
    <s v="P191"/>
    <s v="Sony New Alpha DSLR"/>
    <s v="Electronics"/>
    <n v="1"/>
    <n v="93750"/>
    <s v="Rudra Banerjee"/>
    <s v="Kolkata"/>
    <x v="13"/>
    <n v="25"/>
    <s v="student"/>
    <s v="Pending"/>
    <s v="EMI "/>
  </r>
  <r>
    <s v="C192"/>
    <s v="P192"/>
    <s v="Nothing Phone 3A"/>
    <s v="Electronics"/>
    <n v="1"/>
    <n v="95000"/>
    <s v="Navya Vohra"/>
    <s v="Hampi"/>
    <x v="8"/>
    <n v="26"/>
    <s v="working adults"/>
    <s v="Pending"/>
    <s v="EMI "/>
  </r>
  <r>
    <s v="C193"/>
    <s v="P193"/>
    <s v="Iphone 11 pro max"/>
    <s v="Electronics"/>
    <n v="1"/>
    <n v="95788"/>
    <s v="Ayush Sharma"/>
    <s v="Gurugram"/>
    <x v="12"/>
    <n v="27"/>
    <s v="working adults"/>
    <s v="Pending"/>
    <s v="EMI "/>
  </r>
  <r>
    <s v="C194"/>
    <s v="P194"/>
    <s v="iphone 7"/>
    <s v="Electronics"/>
    <n v="1"/>
    <n v="96564"/>
    <s v="Tanya Bansal"/>
    <s v="Noida"/>
    <x v="1"/>
    <n v="25"/>
    <s v="student"/>
    <s v="Pending"/>
    <s v="EMI "/>
  </r>
  <r>
    <s v="C195"/>
    <s v="P195"/>
    <s v="iphone 8 pro max"/>
    <s v="Electronics"/>
    <n v="1"/>
    <n v="97328"/>
    <s v="Arnav Chopra"/>
    <s v="Delhi"/>
    <x v="14"/>
    <n v="29"/>
    <s v="working adults"/>
    <s v="Pending"/>
    <s v="EMI "/>
  </r>
  <r>
    <s v="C196"/>
    <s v="P196"/>
    <s v="iphone 8 pro"/>
    <s v="Electronics"/>
    <n v="1"/>
    <n v="98080"/>
    <s v="Ira Sethi"/>
    <s v="Noida"/>
    <x v="1"/>
    <n v="31"/>
    <s v="working adults"/>
    <s v="Pending"/>
    <s v="Credit Card"/>
  </r>
  <r>
    <s v="C197"/>
    <s v="P197"/>
    <s v="Iphone 10 pro "/>
    <s v="Electronics"/>
    <n v="1"/>
    <n v="98820"/>
    <s v="Shaurya Jain"/>
    <s v="Delhi"/>
    <x v="14"/>
    <n v="32"/>
    <s v="working adults"/>
    <s v="Pending"/>
    <s v="EMI "/>
  </r>
  <r>
    <s v="C198"/>
    <s v="P198"/>
    <s v="Iphone 10 pro max"/>
    <s v="Electronics"/>
    <n v="1"/>
    <n v="99548"/>
    <s v="Mahi Mukherjee"/>
    <s v="Gurugram"/>
    <x v="12"/>
    <n v="22"/>
    <s v="student"/>
    <s v="Pending"/>
    <s v="EMI "/>
  </r>
  <r>
    <s v="C199"/>
    <s v="P199"/>
    <s v="Asus Gaming PC"/>
    <s v="Electronics"/>
    <n v="1"/>
    <n v="100264"/>
    <s v="Parth Dubey"/>
    <s v="Gurugram"/>
    <x v="12"/>
    <n v="24"/>
    <s v="student"/>
    <s v="Pending"/>
    <s v="EMI "/>
  </r>
  <r>
    <s v="C200"/>
    <s v="P200"/>
    <s v="Lenovo Gaming PC"/>
    <s v="Electronics"/>
    <n v="1"/>
    <n v="116760"/>
    <s v="Aanya Naidu"/>
    <s v="Surat"/>
    <x v="2"/>
    <n v="23"/>
    <s v="student"/>
    <s v="Pending"/>
    <s v="EMI "/>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C001"/>
    <s v="P001"/>
    <s v="cartons of reynolds pens"/>
    <s v="Books &amp; Stationeries"/>
    <n v="4"/>
    <n v="4674.7999999999993"/>
    <s v="Aarav Mehta"/>
    <s v="Agartala"/>
    <x v="0"/>
    <n v="21"/>
    <x v="0"/>
    <s v="Delivered"/>
    <x v="0"/>
  </r>
  <r>
    <s v="C002"/>
    <s v="P002"/>
    <s v="cartons of Uniball pens"/>
    <s v="Books &amp; Stationeries"/>
    <n v="5"/>
    <n v="4478.1000000000004"/>
    <s v="Aditi Patel"/>
    <s v="Agra"/>
    <x v="1"/>
    <n v="22"/>
    <x v="0"/>
    <s v="Delivered"/>
    <x v="1"/>
  </r>
  <r>
    <s v="C003"/>
    <s v="P003"/>
    <s v="cartons of flair easy click ballpoint pens"/>
    <s v="Books &amp; Stationeries"/>
    <n v="6"/>
    <n v="1050"/>
    <s v="Arjun Khanna"/>
    <s v="Ahmedabad"/>
    <x v="2"/>
    <n v="21"/>
    <x v="0"/>
    <s v="Delivered"/>
    <x v="2"/>
  </r>
  <r>
    <s v="C004"/>
    <s v="P004"/>
    <s v="cartons of hauser easy click ballpoint pens"/>
    <s v="Books &amp; Stationeries"/>
    <n v="7"/>
    <n v="1950.2"/>
    <s v="Ananya Khanna"/>
    <s v="Aizawl"/>
    <x v="3"/>
    <n v="19"/>
    <x v="0"/>
    <s v="Delivered"/>
    <x v="2"/>
  </r>
  <r>
    <s v="C005"/>
    <s v="P005"/>
    <s v="packet of Godrej Hair color"/>
    <s v="Cosmetics"/>
    <n v="2"/>
    <n v="2250"/>
    <s v="Aditya Kulkarni"/>
    <s v="Ajmer"/>
    <x v="4"/>
    <n v="29"/>
    <x v="1"/>
    <s v="Delivered"/>
    <x v="2"/>
  </r>
  <r>
    <s v="C006"/>
    <s v="P006"/>
    <s v="Atta Cookies"/>
    <s v="Confectionaries"/>
    <n v="3"/>
    <n v="4500"/>
    <s v="Ishita Yadav"/>
    <s v="Aligarh "/>
    <x v="1"/>
    <n v="34"/>
    <x v="1"/>
    <s v="Delivered"/>
    <x v="2"/>
  </r>
  <r>
    <s v="C007"/>
    <s v="P007"/>
    <s v="Mobile Accessories"/>
    <s v="Electronics"/>
    <n v="4"/>
    <n v="4000"/>
    <s v="Kabir Mathur"/>
    <s v="Amravati"/>
    <x v="5"/>
    <n v="35"/>
    <x v="1"/>
    <s v="Delivered"/>
    <x v="2"/>
  </r>
  <r>
    <s v="C008"/>
    <s v="P008"/>
    <s v="Oswal Sample paper books 12th class "/>
    <s v="Books &amp; Stationeries"/>
    <n v="5"/>
    <n v="4375"/>
    <s v="Meera Gupta"/>
    <s v="Amritsar"/>
    <x v="6"/>
    <n v="17"/>
    <x v="0"/>
    <s v="Delivered"/>
    <x v="2"/>
  </r>
  <r>
    <s v="C009"/>
    <s v="P009"/>
    <s v="Oswal Sample paper books 10th class "/>
    <s v="Books &amp; Stationeries"/>
    <n v="1"/>
    <n v="750"/>
    <s v="Rohan Iyer"/>
    <s v="Aurangabad"/>
    <x v="7"/>
    <n v="16"/>
    <x v="0"/>
    <s v="Delivered"/>
    <x v="2"/>
  </r>
  <r>
    <s v="C010"/>
    <s v="P010"/>
    <s v="Lego set buy 2 get 1 free "/>
    <s v="Toys"/>
    <n v="3"/>
    <n v="11250"/>
    <s v="Priya Mishra"/>
    <s v="Bangalore"/>
    <x v="8"/>
    <n v="17"/>
    <x v="0"/>
    <s v="Delivered"/>
    <x v="2"/>
  </r>
  <r>
    <s v="C011"/>
    <s v="P011"/>
    <s v="packet of Kashmiri Walnuts"/>
    <s v="Dry Fruits"/>
    <n v="5"/>
    <n v="15000"/>
    <s v="Rahul Pandey"/>
    <s v="Bareilly"/>
    <x v="1"/>
    <n v="27"/>
    <x v="1"/>
    <s v="Pending"/>
    <x v="0"/>
  </r>
  <r>
    <s v="C012"/>
    <s v="P012"/>
    <s v="dryfruit Container Set"/>
    <s v="Home and kitchen"/>
    <n v="7"/>
    <n v="19320"/>
    <s v="Sneha Srivastava"/>
    <s v="Chandigarh"/>
    <x v="6"/>
    <n v="32"/>
    <x v="1"/>
    <s v="Delivered"/>
    <x v="0"/>
  </r>
  <r>
    <s v="C013"/>
    <s v="P013"/>
    <s v="cuttlery items"/>
    <s v="Home and kitchen"/>
    <n v="9"/>
    <n v="22680"/>
    <s v="Vihaan Dutta"/>
    <s v="Chennai"/>
    <x v="9"/>
    <n v="37"/>
    <x v="1"/>
    <s v="Pending"/>
    <x v="0"/>
  </r>
  <r>
    <s v="C014"/>
    <s v="P014"/>
    <s v="Diet coke can carton"/>
    <s v="Beverages"/>
    <n v="11"/>
    <n v="25080"/>
    <s v="Diya Sood"/>
    <s v="Coimbatore"/>
    <x v="9"/>
    <n v="41"/>
    <x v="1"/>
    <s v="Pending"/>
    <x v="0"/>
  </r>
  <r>
    <s v="C015"/>
    <s v="P015"/>
    <s v="Pepsi can carton"/>
    <s v="Beverages"/>
    <n v="13"/>
    <n v="3900"/>
    <s v="Karan Verma"/>
    <s v="Dehradun"/>
    <x v="10"/>
    <n v="45"/>
    <x v="1"/>
    <s v="Delivered"/>
    <x v="0"/>
  </r>
  <r>
    <s v="C016"/>
    <s v="P016"/>
    <s v="Mountain Dew can carton"/>
    <s v="Beverages"/>
    <n v="15"/>
    <n v="23400"/>
    <s v="Neha Agarwal"/>
    <s v="Dharamshala"/>
    <x v="11"/>
    <n v="43"/>
    <x v="1"/>
    <s v="Pending"/>
    <x v="0"/>
  </r>
  <r>
    <s v="C017"/>
    <s v="P017"/>
    <s v="Thumsup can carton"/>
    <s v="Beverages"/>
    <n v="17"/>
    <n v="63240"/>
    <s v="Aryan Saxena"/>
    <s v="Faridabad"/>
    <x v="12"/>
    <n v="41"/>
    <x v="1"/>
    <s v="Delivered"/>
    <x v="0"/>
  </r>
  <r>
    <s v="C018"/>
    <s v="P018"/>
    <s v="Antique Lion Statue"/>
    <s v="Art and collections"/>
    <n v="19"/>
    <n v="27360"/>
    <s v="Kavya Tiwari"/>
    <s v="Kanpur"/>
    <x v="1"/>
    <n v="57"/>
    <x v="1"/>
    <s v="Pending"/>
    <x v="0"/>
  </r>
  <r>
    <s v="C019"/>
    <s v="P019"/>
    <s v="Apparel Merchandises"/>
    <s v="Apparel"/>
    <n v="21"/>
    <n v="27720"/>
    <s v="Yash Sinha"/>
    <s v="Gurugram"/>
    <x v="12"/>
    <n v="43"/>
    <x v="1"/>
    <s v="Pending"/>
    <x v="0"/>
  </r>
  <r>
    <s v="C020"/>
    <s v="P020"/>
    <s v="Automobile Accessories"/>
    <s v="Automotive"/>
    <n v="5"/>
    <n v="13000"/>
    <s v="Riya Banerjee"/>
    <s v="Kolkata"/>
    <x v="13"/>
    <n v="26"/>
    <x v="1"/>
    <s v="Pending"/>
    <x v="0"/>
  </r>
  <r>
    <s v="C021"/>
    <s v="P021"/>
    <s v="Water Taps"/>
    <s v="Hardware"/>
    <n v="3"/>
    <n v="12150"/>
    <s v="Dev Vohra"/>
    <s v="Amravati"/>
    <x v="5"/>
    <n v="37"/>
    <x v="1"/>
    <s v="Delivered"/>
    <x v="3"/>
  </r>
  <r>
    <s v="C022"/>
    <s v="P022"/>
    <s v="Redmi Note 4 Mobile Cover"/>
    <s v="Electronics"/>
    <n v="2"/>
    <n v="560"/>
    <s v="Nisha Sharma"/>
    <s v="Rohtak"/>
    <x v="12"/>
    <n v="19"/>
    <x v="0"/>
    <s v="Delivered"/>
    <x v="2"/>
  </r>
  <r>
    <s v="C023"/>
    <s v="P023"/>
    <s v="Micromax Smartphone"/>
    <s v="Electronics"/>
    <n v="1"/>
    <n v="10560"/>
    <s v="Siddharth Bansal"/>
    <s v="Jind"/>
    <x v="12"/>
    <n v="25"/>
    <x v="0"/>
    <s v="Pending"/>
    <x v="0"/>
  </r>
  <r>
    <s v="C024"/>
    <s v="P024"/>
    <s v="Laptop Charger"/>
    <s v="Electronics"/>
    <n v="4"/>
    <n v="6900"/>
    <s v="Pooja Chopra"/>
    <s v="Rohtak"/>
    <x v="12"/>
    <n v="45"/>
    <x v="1"/>
    <s v="Pending"/>
    <x v="2"/>
  </r>
  <r>
    <s v="C025"/>
    <s v="P025"/>
    <s v=" Painting"/>
    <s v="Art and collections"/>
    <n v="2"/>
    <n v="8100"/>
    <s v="Varun Sethi"/>
    <s v="Gurugram"/>
    <x v="12"/>
    <n v="36"/>
    <x v="1"/>
    <s v="Pending"/>
    <x v="0"/>
  </r>
  <r>
    <s v="C026"/>
    <s v="P026"/>
    <s v="cuttlery items"/>
    <s v="Home and kitchen"/>
    <n v="4"/>
    <n v="20800"/>
    <s v="Simran Jain"/>
    <s v="Faridabad"/>
    <x v="12"/>
    <n v="32"/>
    <x v="1"/>
    <s v="Pending"/>
    <x v="3"/>
  </r>
  <r>
    <s v="C027"/>
    <s v="P027"/>
    <s v="Cricket kit SG"/>
    <s v="Sports &amp; Fitness"/>
    <n v="2"/>
    <n v="14000"/>
    <s v="Aniket Mukherjee"/>
    <s v="Gurugram"/>
    <x v="12"/>
    <n v="17"/>
    <x v="0"/>
    <s v="Delivered"/>
    <x v="0"/>
  </r>
  <r>
    <s v="C028"/>
    <s v="P028"/>
    <s v="Lego Star wars set"/>
    <s v="Toys"/>
    <n v="6"/>
    <n v="41400"/>
    <s v="Tanvi Dubey"/>
    <s v="Gurugram"/>
    <x v="12"/>
    <n v="16"/>
    <x v="0"/>
    <s v="Delivered"/>
    <x v="4"/>
  </r>
  <r>
    <s v="C029"/>
    <s v="P029"/>
    <s v="Ikea Tables"/>
    <s v="Furniture"/>
    <n v="3"/>
    <n v="46800"/>
    <s v="Manav Naidu"/>
    <s v="Bangalore"/>
    <x v="8"/>
    <n v="39"/>
    <x v="1"/>
    <s v="Pending"/>
    <x v="3"/>
  </r>
  <r>
    <s v="C030"/>
    <s v="P030"/>
    <s v="Hair Care kit for women"/>
    <s v="Cosmetics"/>
    <n v="2"/>
    <n v="34500"/>
    <s v="Shreya Malhotra"/>
    <s v="Bangalore"/>
    <x v="8"/>
    <n v="29"/>
    <x v="1"/>
    <s v="Pending"/>
    <x v="4"/>
  </r>
  <r>
    <s v="C031"/>
    <s v="P031"/>
    <s v="Nothing Phone 3A"/>
    <s v="Electronics"/>
    <n v="1"/>
    <n v="35650"/>
    <s v="Vivaan Joshi"/>
    <s v="Delhi"/>
    <x v="14"/>
    <n v="31"/>
    <x v="1"/>
    <s v="Pending"/>
    <x v="4"/>
  </r>
  <r>
    <s v="C032"/>
    <s v="P032"/>
    <s v="Colgate Toothpaste"/>
    <s v="Health &amp; Beauty"/>
    <n v="7"/>
    <n v="6615"/>
    <s v="Avni Chawla"/>
    <s v="Delhi"/>
    <x v="14"/>
    <n v="26"/>
    <x v="1"/>
    <s v="Delivered"/>
    <x v="2"/>
  </r>
  <r>
    <s v="C033"/>
    <s v="P033"/>
    <s v="JBL Bluetooth Airpods"/>
    <s v="Electronics"/>
    <n v="8"/>
    <n v="10800"/>
    <s v="Reyansh Goyal"/>
    <s v="Delhi"/>
    <x v="14"/>
    <n v="31"/>
    <x v="1"/>
    <s v="Delivered"/>
    <x v="0"/>
  </r>
  <r>
    <s v="C034"/>
    <s v="P034"/>
    <s v="Boat Earphones"/>
    <s v="Electronics"/>
    <n v="9"/>
    <n v="11340"/>
    <s v="Myra Pillai"/>
    <s v="Delhi"/>
    <x v="14"/>
    <n v="42"/>
    <x v="1"/>
    <s v="Pending"/>
    <x v="0"/>
  </r>
  <r>
    <s v="C035"/>
    <s v="P035"/>
    <s v="Redmi Note 4 smartphone"/>
    <s v="Electronics"/>
    <n v="10"/>
    <n v="125000"/>
    <s v="Krish Tripathi"/>
    <s v="Delhi"/>
    <x v="14"/>
    <n v="52"/>
    <x v="1"/>
    <s v="Pending"/>
    <x v="0"/>
  </r>
  <r>
    <s v="C036"/>
    <s v="P036"/>
    <s v="Jaldhera Water meters"/>
    <s v="Hardware"/>
    <n v="11"/>
    <n v="17160"/>
    <s v="Kiara Bhatt"/>
    <s v="Delhi"/>
    <x v="14"/>
    <n v="37"/>
    <x v="1"/>
    <s v="Pending"/>
    <x v="0"/>
  </r>
  <r>
    <s v="C037"/>
    <s v="P037"/>
    <s v="Kranti Water meters"/>
    <s v="Hardware"/>
    <n v="12"/>
    <n v="36864"/>
    <s v="Atharv Kapoor"/>
    <s v="Delhi"/>
    <x v="14"/>
    <n v="34"/>
    <x v="1"/>
    <s v="Delivered"/>
    <x v="0"/>
  </r>
  <r>
    <s v="C038"/>
    <s v="P038"/>
    <s v="Boat rockerz Bluetooth headbands"/>
    <s v="Electronics"/>
    <n v="13"/>
    <n v="42588"/>
    <s v="Anika Nair"/>
    <s v="Delhi"/>
    <x v="14"/>
    <n v="38"/>
    <x v="1"/>
    <s v="Delivered"/>
    <x v="0"/>
  </r>
  <r>
    <s v="C039"/>
    <s v="P039"/>
    <s v="Milton Thermo Flask Water bottles cartons"/>
    <s v="Drinkware"/>
    <n v="14"/>
    <n v="48608"/>
    <s v="Dhruv Rao"/>
    <s v="Delhi"/>
    <x v="14"/>
    <n v="54"/>
    <x v="1"/>
    <s v="Delivered"/>
    <x v="0"/>
  </r>
  <r>
    <s v="C040"/>
    <s v="P040"/>
    <s v="7up cold drink cartons"/>
    <s v="Beverages"/>
    <n v="11"/>
    <n v="16802.5"/>
    <s v="Saanvi Bhatia"/>
    <s v="Delhi"/>
    <x v="14"/>
    <n v="41"/>
    <x v="1"/>
    <s v="Delivered"/>
    <x v="0"/>
  </r>
  <r>
    <s v="C041"/>
    <s v="P041"/>
    <s v="Ikea Furniture Set"/>
    <s v="Furniture"/>
    <n v="1"/>
    <n v="51750"/>
    <s v="Rudra Menon"/>
    <s v="Delhi"/>
    <x v="14"/>
    <n v="30"/>
    <x v="1"/>
    <s v="Delivered"/>
    <x v="0"/>
  </r>
  <r>
    <s v="C042"/>
    <s v="P042"/>
    <s v="Cooking set"/>
    <s v="Home and kitchen"/>
    <n v="2"/>
    <n v="161000"/>
    <s v="Navya Shukla"/>
    <s v="Gurugram"/>
    <x v="12"/>
    <n v="24"/>
    <x v="0"/>
    <s v="Delivered"/>
    <x v="4"/>
  </r>
  <r>
    <s v="C043"/>
    <s v="P043"/>
    <s v="Crockery set"/>
    <s v="Home and kitchen"/>
    <n v="3"/>
    <n v="50700"/>
    <s v="Ayush Ahuja"/>
    <s v="Gurugram"/>
    <x v="12"/>
    <n v="25"/>
    <x v="0"/>
    <s v="Delivered"/>
    <x v="5"/>
  </r>
  <r>
    <s v="C044"/>
    <s v="P044"/>
    <s v="gaming mouse "/>
    <s v="Electronics"/>
    <n v="14"/>
    <n v="245000"/>
    <s v="Tanya Singh"/>
    <s v="Gurugram"/>
    <x v="12"/>
    <n v="27"/>
    <x v="1"/>
    <s v="Delivered"/>
    <x v="0"/>
  </r>
  <r>
    <s v="C045"/>
    <s v="P045"/>
    <s v="Realme P4"/>
    <s v="Electronics"/>
    <n v="10"/>
    <n v="300000"/>
    <s v="Arnav Reddy"/>
    <s v="Gurugram"/>
    <x v="12"/>
    <n v="29"/>
    <x v="1"/>
    <s v="Delivered"/>
    <x v="0"/>
  </r>
  <r>
    <s v="C046"/>
    <s v="P046"/>
    <s v="Mobile Accessories"/>
    <s v="Electronics"/>
    <n v="9"/>
    <n v="18900"/>
    <s v="Ira Das"/>
    <s v="Gurugram"/>
    <x v="12"/>
    <n v="31"/>
    <x v="1"/>
    <s v="Delivered"/>
    <x v="2"/>
  </r>
  <r>
    <s v="C047"/>
    <s v="P047"/>
    <s v="Mobile Chargers"/>
    <s v="Electronics"/>
    <n v="8"/>
    <n v="11200"/>
    <s v="Shaurya Arora"/>
    <s v="Gurugram"/>
    <x v="12"/>
    <n v="24"/>
    <x v="0"/>
    <s v="Delivered"/>
    <x v="2"/>
  </r>
  <r>
    <s v="C048"/>
    <s v="P048"/>
    <s v="International Business Indoor Games"/>
    <s v="Toys"/>
    <n v="7"/>
    <n v="13230"/>
    <s v="Mahi Desai"/>
    <s v="Gurugram"/>
    <x v="12"/>
    <n v="15"/>
    <x v="0"/>
    <s v="Delivered"/>
    <x v="2"/>
  </r>
  <r>
    <s v="C049"/>
    <s v="P049"/>
    <s v="Principle of Microecomics N.Gregory Mankiws"/>
    <s v="Books &amp; Stationeries"/>
    <n v="5"/>
    <n v="17500"/>
    <s v="Parth Thakur"/>
    <s v="Gurugram"/>
    <x v="12"/>
    <n v="21"/>
    <x v="0"/>
    <s v="Delivered"/>
    <x v="2"/>
  </r>
  <r>
    <s v="C050"/>
    <s v="P050"/>
    <s v="Camping Kit"/>
    <s v="Sports &amp; Fitness"/>
    <n v="4"/>
    <n v="22400"/>
    <s v="Aanya Kohli"/>
    <s v="Gurugram"/>
    <x v="12"/>
    <n v="31"/>
    <x v="1"/>
    <s v="Delivered"/>
    <x v="2"/>
  </r>
  <r>
    <s v="C051"/>
    <s v="P051"/>
    <s v="Kitchen toolset"/>
    <s v="Home and kitchen"/>
    <n v="3"/>
    <n v="12150"/>
    <s v="Aarav Singh"/>
    <s v="Gurugram"/>
    <x v="12"/>
    <n v="39"/>
    <x v="1"/>
    <s v="Delivered"/>
    <x v="0"/>
  </r>
  <r>
    <s v="C052"/>
    <s v="P052"/>
    <s v="One plus 11R"/>
    <s v="Electronics"/>
    <n v="2"/>
    <n v="78000"/>
    <s v="Aditi Reddy"/>
    <s v="Gurugram"/>
    <x v="12"/>
    <n v="45"/>
    <x v="1"/>
    <s v="Pending"/>
    <x v="0"/>
  </r>
  <r>
    <s v="C053"/>
    <s v="P053"/>
    <s v="Redmi Note 5"/>
    <s v="Electronics"/>
    <n v="1"/>
    <n v="19950"/>
    <s v="Arjun Das"/>
    <s v="Gurugram"/>
    <x v="12"/>
    <n v="23"/>
    <x v="0"/>
    <s v="Pending"/>
    <x v="4"/>
  </r>
  <r>
    <s v="C054"/>
    <s v="P054"/>
    <s v="Ubon Airpodes"/>
    <s v="Electronics"/>
    <n v="11"/>
    <n v="11880"/>
    <s v="Ananya Arora"/>
    <s v="Gurugram"/>
    <x v="12"/>
    <n v="31"/>
    <x v="1"/>
    <s v="Delivered"/>
    <x v="0"/>
  </r>
  <r>
    <s v="C055"/>
    <s v="P055"/>
    <s v="Ubon wired earphones"/>
    <s v="Electronics"/>
    <n v="12"/>
    <n v="15600"/>
    <s v="Aditya Desai"/>
    <s v="Gurugram"/>
    <x v="12"/>
    <n v="43"/>
    <x v="1"/>
    <s v="Delivered"/>
    <x v="0"/>
  </r>
  <r>
    <s v="C056"/>
    <s v="P056"/>
    <s v="Ubon Headbands"/>
    <s v="Electronics"/>
    <n v="12"/>
    <n v="19152"/>
    <s v="Ishita Thakur"/>
    <s v="Gurugram"/>
    <x v="12"/>
    <n v="30"/>
    <x v="1"/>
    <s v="Delivered"/>
    <x v="4"/>
  </r>
  <r>
    <s v="C057"/>
    <s v="P057"/>
    <s v="Gaming keyboard"/>
    <s v="Electronics"/>
    <n v="13"/>
    <n v="53820"/>
    <s v="Kabir Kohli"/>
    <s v="Gurugram"/>
    <x v="12"/>
    <n v="21"/>
    <x v="0"/>
    <s v="Pending"/>
    <x v="0"/>
  </r>
  <r>
    <s v="C058"/>
    <s v="P058"/>
    <s v="Cartons Of screws and other accessories"/>
    <s v="Hardware"/>
    <n v="14"/>
    <n v="85050"/>
    <s v="Meera Mehta"/>
    <s v="Gurugram"/>
    <x v="12"/>
    <n v="23"/>
    <x v="0"/>
    <s v="Pending"/>
    <x v="5"/>
  </r>
  <r>
    <s v="C059"/>
    <s v="P059"/>
    <s v="Dog Toys"/>
    <s v="Pet Supplies"/>
    <n v="15"/>
    <n v="48000"/>
    <s v="Rohan Patel"/>
    <s v="Gurugram"/>
    <x v="12"/>
    <n v="51"/>
    <x v="1"/>
    <s v="Delivered"/>
    <x v="3"/>
  </r>
  <r>
    <s v="C060"/>
    <s v="P060"/>
    <s v="Real Mixed fruit Juice cartons"/>
    <s v="Beverages"/>
    <n v="16"/>
    <n v="30500"/>
    <s v="Priya Khan"/>
    <s v="Gurugram"/>
    <x v="12"/>
    <n v="34"/>
    <x v="1"/>
    <s v="Pending"/>
    <x v="3"/>
  </r>
  <r>
    <s v="C061"/>
    <s v="P061"/>
    <s v="Lenovo Gaming PC"/>
    <s v="Electronics"/>
    <n v="1"/>
    <n v="114750"/>
    <s v="Rahul Khanna"/>
    <s v="Gurugram"/>
    <x v="12"/>
    <n v="25"/>
    <x v="0"/>
    <s v="Delivered"/>
    <x v="0"/>
  </r>
  <r>
    <s v="C062"/>
    <s v="P062"/>
    <s v="Fancy Pencil Box kits"/>
    <s v="Books &amp; Stationeries"/>
    <n v="17"/>
    <n v="11475"/>
    <s v="Sneha Kulkarni"/>
    <s v="Gurugram"/>
    <x v="12"/>
    <n v="31"/>
    <x v="1"/>
    <s v="Pending"/>
    <x v="2"/>
  </r>
  <r>
    <s v="C063"/>
    <s v="P063"/>
    <s v="Redmi Note 3"/>
    <s v="Electronics"/>
    <n v="18"/>
    <n v="19440"/>
    <s v="Vihaan Yadav"/>
    <s v="Gurugram"/>
    <x v="12"/>
    <n v="28"/>
    <x v="1"/>
    <s v="Pending"/>
    <x v="2"/>
  </r>
  <r>
    <s v="C064"/>
    <s v="P064"/>
    <s v="redmi Note 6"/>
    <s v="Electronics"/>
    <n v="18"/>
    <n v="24300"/>
    <s v="Diya Mathur"/>
    <s v="Gurugram"/>
    <x v="12"/>
    <n v="27"/>
    <x v="1"/>
    <s v="Pending"/>
    <x v="0"/>
  </r>
  <r>
    <s v="C065"/>
    <s v="P065"/>
    <s v="redmi note 2"/>
    <s v="Electronics"/>
    <n v="2"/>
    <n v="78000"/>
    <s v="Karan Gupta"/>
    <s v="Gurugram"/>
    <x v="12"/>
    <n v="21"/>
    <x v="0"/>
    <s v="Pending"/>
    <x v="5"/>
  </r>
  <r>
    <s v="C066"/>
    <s v="P066"/>
    <s v="PowerBank"/>
    <s v="Electronics"/>
    <n v="3"/>
    <n v="15600"/>
    <s v="Neha Iyer"/>
    <s v="Kochi"/>
    <x v="15"/>
    <n v="22"/>
    <x v="0"/>
    <s v="Pending"/>
    <x v="0"/>
  </r>
  <r>
    <s v="C067"/>
    <s v="P067"/>
    <s v="real apple Juice cartons"/>
    <s v="Beverages"/>
    <n v="4"/>
    <n v="26000"/>
    <s v="Aryan Mishra"/>
    <s v="Coimbatore"/>
    <x v="9"/>
    <n v="26"/>
    <x v="1"/>
    <s v="Pending"/>
    <x v="0"/>
  </r>
  <r>
    <s v="C068"/>
    <s v="P068"/>
    <s v="Sujata Mixer Juicer grinder"/>
    <s v="Home and kitchen"/>
    <n v="5"/>
    <n v="39000"/>
    <s v="Kavya Pandey"/>
    <s v="Kanpur"/>
    <x v="1"/>
    <n v="36"/>
    <x v="1"/>
    <s v="Pending"/>
    <x v="0"/>
  </r>
  <r>
    <s v="C069"/>
    <s v="P069"/>
    <s v="Prestige Pressure Cooker"/>
    <s v="Home and kitchen"/>
    <n v="6"/>
    <n v="8100"/>
    <s v="Yash Srivastava"/>
    <s v="Kanpur"/>
    <x v="1"/>
    <n v="32"/>
    <x v="1"/>
    <s v="Pending"/>
    <x v="2"/>
  </r>
  <r>
    <s v="C070"/>
    <s v="P070"/>
    <s v="Prestige Frying Pan"/>
    <s v="Home and kitchen"/>
    <n v="7"/>
    <n v="7560"/>
    <s v="Riya Dutta"/>
    <s v="Lavasa"/>
    <x v="7"/>
    <n v="41"/>
    <x v="1"/>
    <s v="Pending"/>
    <x v="2"/>
  </r>
  <r>
    <s v="C071"/>
    <s v="P071"/>
    <s v="Apsara Pencil cartons"/>
    <s v="Books &amp; Stationeries"/>
    <n v="8"/>
    <n v="2240"/>
    <s v="Dev Sood"/>
    <s v="Ludhiana"/>
    <x v="6"/>
    <n v="41"/>
    <x v="1"/>
    <s v="Pending"/>
    <x v="2"/>
  </r>
  <r>
    <s v="C072"/>
    <s v="P072"/>
    <s v="Lion Antique Copper Statues"/>
    <s v="Art and collections"/>
    <n v="9"/>
    <n v="49572"/>
    <s v="Nisha Verma"/>
    <s v="Ahmedabad"/>
    <x v="2"/>
    <n v="32"/>
    <x v="1"/>
    <s v="Pending"/>
    <x v="2"/>
  </r>
  <r>
    <s v="C073"/>
    <s v="P073"/>
    <s v="Camlin Oil Pastel Cartons"/>
    <s v="Books &amp; Stationeries"/>
    <n v="10"/>
    <n v="19250"/>
    <s v="Siddharth Agarwal"/>
    <s v="Faridabad"/>
    <x v="12"/>
    <n v="26"/>
    <x v="1"/>
    <s v="Pending"/>
    <x v="2"/>
  </r>
  <r>
    <s v="C074"/>
    <s v="P074"/>
    <s v="Realme P4"/>
    <s v="Electronics"/>
    <n v="1"/>
    <n v="40500"/>
    <s v="Pooja Saxena"/>
    <s v="Noida"/>
    <x v="1"/>
    <n v="24"/>
    <x v="0"/>
    <s v="Pending"/>
    <x v="2"/>
  </r>
  <r>
    <s v="C075"/>
    <s v="P075"/>
    <s v="Redmi Note 1"/>
    <s v="Electronics"/>
    <n v="2"/>
    <n v="39200"/>
    <s v="Varun Tiwari"/>
    <s v="Meerut"/>
    <x v="1"/>
    <n v="24"/>
    <x v="0"/>
    <s v="Pending"/>
    <x v="2"/>
  </r>
  <r>
    <s v="C076"/>
    <s v="P076"/>
    <s v="Alarm Clocks"/>
    <s v="Home and Lifestyle "/>
    <n v="3"/>
    <n v="4200"/>
    <s v="Simran Sinha"/>
    <s v="Patna"/>
    <x v="16"/>
    <n v="25"/>
    <x v="0"/>
    <s v="Delivered"/>
    <x v="2"/>
  </r>
  <r>
    <s v="C077"/>
    <s v="P077"/>
    <s v="Digital Alarm clocks"/>
    <s v="Electronics"/>
    <n v="4"/>
    <n v="1400"/>
    <s v="Aniket Banerjee"/>
    <s v="Kolkata"/>
    <x v="13"/>
    <n v="26"/>
    <x v="1"/>
    <s v="Delivered"/>
    <x v="2"/>
  </r>
  <r>
    <s v="C078"/>
    <s v="P078"/>
    <s v="Kissan Mixedfruit Bread Jam"/>
    <s v="Beverages"/>
    <n v="5"/>
    <n v="1225"/>
    <s v="Tanvi Vohra"/>
    <s v="Kolkata"/>
    <x v="13"/>
    <n v="20"/>
    <x v="0"/>
    <s v="Delivered"/>
    <x v="1"/>
  </r>
  <r>
    <s v="C079"/>
    <s v="P079"/>
    <s v="Screw Drivers"/>
    <s v="Hardware"/>
    <n v="6"/>
    <n v="4200"/>
    <s v="Manav Sharma"/>
    <s v="Delhi"/>
    <x v="14"/>
    <n v="32"/>
    <x v="1"/>
    <s v="Delivered"/>
    <x v="1"/>
  </r>
  <r>
    <s v="C080"/>
    <s v="P080"/>
    <s v="Pliers"/>
    <s v="Hardware"/>
    <n v="7"/>
    <n v="6860"/>
    <s v="Shreya Bansal"/>
    <s v="Amravati"/>
    <x v="5"/>
    <n v="33"/>
    <x v="1"/>
    <s v="Delivered"/>
    <x v="1"/>
  </r>
  <r>
    <s v="C081"/>
    <s v="P081"/>
    <s v="Peacock Statue"/>
    <s v="Art and collections"/>
    <n v="8"/>
    <n v="13440"/>
    <s v="Vivaan Chopra"/>
    <s v="Noida"/>
    <x v="1"/>
    <n v="45"/>
    <x v="1"/>
    <s v="Pending"/>
    <x v="1"/>
  </r>
  <r>
    <s v="C082"/>
    <s v="P082"/>
    <s v="Cat statue Showpiece"/>
    <s v="Art and collections"/>
    <n v="9"/>
    <n v="11340"/>
    <s v="Avni Sethi"/>
    <s v="Noida"/>
    <x v="1"/>
    <n v="47"/>
    <x v="1"/>
    <s v="Delivered"/>
    <x v="1"/>
  </r>
  <r>
    <s v="C083"/>
    <s v="P083"/>
    <s v="Dell Gaming PC"/>
    <s v="Electronics"/>
    <n v="1"/>
    <n v="141750"/>
    <s v="Reyansh Jain"/>
    <s v="Gurugram"/>
    <x v="12"/>
    <n v="27"/>
    <x v="1"/>
    <s v="Pending"/>
    <x v="0"/>
  </r>
  <r>
    <s v="C084"/>
    <s v="P084"/>
    <s v="Cosco professional Cricket kit"/>
    <s v="Sports &amp; Fitness"/>
    <n v="2"/>
    <n v="31250"/>
    <s v="Myra Mukherjee"/>
    <s v="Gurugram"/>
    <x v="12"/>
    <n v="24"/>
    <x v="0"/>
    <s v="Pending"/>
    <x v="0"/>
  </r>
  <r>
    <s v="C085"/>
    <s v="P085"/>
    <s v="Toor Daal 5 kgs pkt"/>
    <s v="Food and Beverages"/>
    <n v="3"/>
    <n v="1470"/>
    <s v="Krish Dubey"/>
    <s v="Gurugram"/>
    <x v="12"/>
    <n v="29"/>
    <x v="1"/>
    <s v="Delivered"/>
    <x v="1"/>
  </r>
  <r>
    <s v="C086"/>
    <s v="P086"/>
    <s v="Arhar Daal 4 kgs pkt"/>
    <s v="Food and Beverages"/>
    <n v="4"/>
    <n v="3640"/>
    <s v="Kiara Naidu"/>
    <s v="Chennai"/>
    <x v="9"/>
    <n v="37"/>
    <x v="1"/>
    <s v="Delivered"/>
    <x v="1"/>
  </r>
  <r>
    <s v="C087"/>
    <s v="P087"/>
    <s v="Sword showpiece collections"/>
    <s v="Home &amp; décor"/>
    <n v="5"/>
    <n v="9425"/>
    <s v="Atharv Malhotra"/>
    <s v="Noida"/>
    <x v="1"/>
    <n v="39"/>
    <x v="1"/>
    <s v="Delivered"/>
    <x v="0"/>
  </r>
  <r>
    <s v="C088"/>
    <s v="P088"/>
    <s v="Jagannath temple Paintings"/>
    <s v="Home &amp; décor"/>
    <n v="7"/>
    <n v="22750"/>
    <s v="Anika Joshi"/>
    <s v="Mumbai"/>
    <x v="7"/>
    <n v="43"/>
    <x v="1"/>
    <s v="Delivered"/>
    <x v="0"/>
  </r>
  <r>
    <s v="C089"/>
    <s v="P089"/>
    <s v="Lenovo Headbands"/>
    <s v="Electronics"/>
    <n v="8"/>
    <n v="8948.7999999999993"/>
    <s v="Dhruv Chawla"/>
    <s v="Delhi"/>
    <x v="14"/>
    <n v="28"/>
    <x v="1"/>
    <s v="Pending"/>
    <x v="1"/>
  </r>
  <r>
    <s v="C090"/>
    <s v="P090"/>
    <s v="Ubon Airpodes"/>
    <s v="Electronics"/>
    <n v="8"/>
    <n v="12960"/>
    <s v="Saanvi Goyal"/>
    <s v="Gurugram"/>
    <x v="12"/>
    <n v="25"/>
    <x v="0"/>
    <s v="Pending"/>
    <x v="1"/>
  </r>
  <r>
    <s v="C091"/>
    <s v="P091"/>
    <s v="Kodak DSLR kit"/>
    <s v="Electronics"/>
    <n v="8"/>
    <n v="35880"/>
    <s v="Rudra Pillai"/>
    <s v="Coimbatore"/>
    <x v="9"/>
    <n v="23"/>
    <x v="0"/>
    <s v="Pending"/>
    <x v="0"/>
  </r>
  <r>
    <s v="C092"/>
    <s v="P092"/>
    <s v="Crax Cartons"/>
    <s v="Food and Beverages"/>
    <n v="9"/>
    <n v="94770"/>
    <s v="Navya Tripathi"/>
    <s v="Ghaziabad"/>
    <x v="1"/>
    <n v="65"/>
    <x v="2"/>
    <s v="Pending"/>
    <x v="0"/>
  </r>
  <r>
    <s v="C093"/>
    <s v="P093"/>
    <s v="Drawing and SketchBooks"/>
    <s v="Books &amp; Stationeries"/>
    <n v="6"/>
    <n v="4620"/>
    <s v="Ayush Bhatt"/>
    <s v="Delhi"/>
    <x v="14"/>
    <n v="33"/>
    <x v="1"/>
    <s v="Pending"/>
    <x v="0"/>
  </r>
  <r>
    <s v="C094"/>
    <s v="P094"/>
    <s v="Samsung Airpods"/>
    <s v="Electronics"/>
    <n v="5"/>
    <n v="8400"/>
    <s v="Tanya Kapoor"/>
    <s v="Pune"/>
    <x v="7"/>
    <n v="31"/>
    <x v="1"/>
    <s v="Pending"/>
    <x v="1"/>
  </r>
  <r>
    <s v="C095"/>
    <s v="P095"/>
    <s v="Penholder"/>
    <s v="Books &amp; Stationeries"/>
    <n v="4"/>
    <n v="1120"/>
    <s v="Arnav Nair"/>
    <s v="Delhi"/>
    <x v="14"/>
    <n v="21"/>
    <x v="0"/>
    <s v="Pending"/>
    <x v="1"/>
  </r>
  <r>
    <s v="C096"/>
    <s v="P096"/>
    <s v="packet of Kashmiri Walnuts"/>
    <s v="Dry Fruits"/>
    <n v="3"/>
    <n v="2310"/>
    <s v="Ira Rao"/>
    <s v="Jammu"/>
    <x v="17"/>
    <n v="32"/>
    <x v="1"/>
    <s v="Pending"/>
    <x v="1"/>
  </r>
  <r>
    <s v="C097"/>
    <s v="P097"/>
    <s v="Noisefit smartwatch buy 2 get one free"/>
    <s v="Electronics"/>
    <n v="3"/>
    <n v="2730"/>
    <s v="Shaurya Bhatia"/>
    <s v="Karnal"/>
    <x v="12"/>
    <n v="33"/>
    <x v="1"/>
    <s v="Pending"/>
    <x v="1"/>
  </r>
  <r>
    <s v="C098"/>
    <s v="P098"/>
    <s v="Boult Airpods "/>
    <s v="Electronics"/>
    <n v="8"/>
    <n v="33600"/>
    <s v="Mahi Menon"/>
    <s v="Jaipur"/>
    <x v="4"/>
    <n v="30"/>
    <x v="1"/>
    <s v="Pending"/>
    <x v="0"/>
  </r>
  <r>
    <s v="C099"/>
    <s v="P099"/>
    <s v="Camlin Brushpens set"/>
    <s v="Books &amp; Stationeries"/>
    <n v="7"/>
    <n v="6860"/>
    <s v="Parth Shukla"/>
    <s v="Jaipur"/>
    <x v="4"/>
    <n v="22"/>
    <x v="0"/>
    <s v="Pending"/>
    <x v="1"/>
  </r>
  <r>
    <s v="C100"/>
    <s v="P100"/>
    <s v="Lava Agni 4 5g"/>
    <s v="Electronics"/>
    <n v="6"/>
    <n v="100050"/>
    <s v="Aanya Ahuja"/>
    <s v="Delhi"/>
    <x v="14"/>
    <n v="25"/>
    <x v="0"/>
    <s v="Pending"/>
    <x v="0"/>
  </r>
  <r>
    <s v="C101"/>
    <s v="P101"/>
    <s v="Lava Agni 3 5g"/>
    <s v="Electronics"/>
    <n v="5"/>
    <n v="75000"/>
    <s v="Aarav Kapoor"/>
    <s v="Delhi"/>
    <x v="14"/>
    <n v="24"/>
    <x v="0"/>
    <s v="Pending"/>
    <x v="0"/>
  </r>
  <r>
    <s v="C102"/>
    <s v="P102"/>
    <s v="Poco C85x 5g Smartphone"/>
    <s v="Electronics"/>
    <n v="4"/>
    <n v="52500"/>
    <s v="Aditi Nair"/>
    <s v="Kochi"/>
    <x v="15"/>
    <n v="23"/>
    <x v="0"/>
    <s v="Pending"/>
    <x v="0"/>
  </r>
  <r>
    <s v="C103"/>
    <s v="P103"/>
    <s v="Redmi A7 pro 5g"/>
    <s v="Electronics"/>
    <n v="5"/>
    <n v="156250"/>
    <s v="Arjun Rao"/>
    <s v="pune"/>
    <x v="7"/>
    <n v="26"/>
    <x v="1"/>
    <s v="Pending"/>
    <x v="4"/>
  </r>
  <r>
    <s v="C104"/>
    <s v="P104"/>
    <s v="Realme Narzo 80 Lite 5G"/>
    <s v="Electronics"/>
    <n v="3"/>
    <n v="46800"/>
    <s v="Ananya Bhatia"/>
    <s v="Delhi"/>
    <x v="14"/>
    <n v="27"/>
    <x v="1"/>
    <s v="Pending"/>
    <x v="5"/>
  </r>
  <r>
    <s v="C105"/>
    <s v="P105"/>
    <s v="Lava Blaze Duo 3 5g"/>
    <s v="Electronics"/>
    <n v="2"/>
    <n v="46000"/>
    <s v="Aditya Menon"/>
    <s v="ghaziabad"/>
    <x v="1"/>
    <n v="27"/>
    <x v="1"/>
    <s v="Pending"/>
    <x v="0"/>
  </r>
  <r>
    <s v="C106"/>
    <s v="P106"/>
    <s v="IQOO Z10 Lite 5G"/>
    <s v="Electronics"/>
    <n v="3"/>
    <n v="111600"/>
    <s v="Ishita Shukla"/>
    <s v="Faridabad"/>
    <x v="12"/>
    <n v="28"/>
    <x v="1"/>
    <s v="Pending"/>
    <x v="4"/>
  </r>
  <r>
    <s v="C107"/>
    <s v="P107"/>
    <s v="One Plus N6 "/>
    <s v="Electronics"/>
    <n v="4"/>
    <n v="216000"/>
    <s v="Kabir Ahuja"/>
    <s v="Gurugram"/>
    <x v="12"/>
    <n v="29"/>
    <x v="1"/>
    <s v="Pending"/>
    <x v="4"/>
  </r>
  <r>
    <s v="C108"/>
    <s v="P108"/>
    <s v="Haier 9kg Oceanus Fully Automatic top load washing machine"/>
    <s v="Electronics"/>
    <n v="4"/>
    <n v="172800"/>
    <s v="Meera Singh"/>
    <s v="Delhi"/>
    <x v="14"/>
    <n v="31"/>
    <x v="1"/>
    <s v="Pending"/>
    <x v="5"/>
  </r>
  <r>
    <s v="C109"/>
    <s v="P109"/>
    <s v="Crompton geyser 15ltrs"/>
    <s v="Electronics"/>
    <n v="2"/>
    <n v="189000"/>
    <s v="Rohan Reddy"/>
    <s v="Bangalore"/>
    <x v="8"/>
    <n v="32"/>
    <x v="1"/>
    <s v="Pending"/>
    <x v="5"/>
  </r>
  <r>
    <s v="C110"/>
    <s v="P110"/>
    <s v="AO Smith Geyser 15ltrs"/>
    <s v="Electronics"/>
    <n v="11"/>
    <n v="223080"/>
    <s v="Priya Das"/>
    <s v="Kolkata"/>
    <x v="13"/>
    <n v="33"/>
    <x v="1"/>
    <s v="Pending"/>
    <x v="4"/>
  </r>
  <r>
    <s v="C111"/>
    <s v="P111"/>
    <s v="Voltas 1.5 ton 3 star Air Conditioner"/>
    <s v="Electronics"/>
    <n v="22"/>
    <n v="632500"/>
    <s v="Rahul Arora"/>
    <s v="Gurugram"/>
    <x v="12"/>
    <n v="45"/>
    <x v="1"/>
    <s v="Pending"/>
    <x v="3"/>
  </r>
  <r>
    <s v="C112"/>
    <s v="P112"/>
    <s v="Diesel Mr daddy 2.0 Men's watches"/>
    <s v="Fashion &amp; Acessories"/>
    <n v="13"/>
    <n v="236600"/>
    <s v="Sneha Desai"/>
    <s v="Ghaziabad"/>
    <x v="1"/>
    <n v="44"/>
    <x v="1"/>
    <s v="Pending"/>
    <x v="3"/>
  </r>
  <r>
    <s v="C113"/>
    <s v="P113"/>
    <s v="Diesel Mr daddy 2.0 stainless steel Men's watches"/>
    <s v="Fashion &amp; Acessories"/>
    <n v="15"/>
    <n v="151875"/>
    <s v="Vihaan Thakur"/>
    <s v="Faridabad"/>
    <x v="12"/>
    <n v="56"/>
    <x v="1"/>
    <s v="Pending"/>
    <x v="5"/>
  </r>
  <r>
    <s v="C114"/>
    <s v="P114"/>
    <s v="Tommy hilfiger Men's watches"/>
    <s v="Fashion &amp; Acessories"/>
    <n v="15"/>
    <n v="87750"/>
    <s v="Diya Kohli"/>
    <s v="Delhi"/>
    <x v="14"/>
    <n v="57"/>
    <x v="1"/>
    <s v="Pending"/>
    <x v="4"/>
  </r>
  <r>
    <s v="C115"/>
    <s v="P115"/>
    <s v="Olev's Men's watches"/>
    <s v="Fashion &amp; Acessories"/>
    <n v="16"/>
    <n v="31320"/>
    <s v="Karan Mehta"/>
    <s v="Surat"/>
    <x v="2"/>
    <n v="58"/>
    <x v="1"/>
    <s v="Pending"/>
    <x v="1"/>
  </r>
  <r>
    <s v="C116"/>
    <s v="P116"/>
    <s v="Kodak Selfie stick"/>
    <s v="Electronics"/>
    <n v="2"/>
    <n v="31250"/>
    <s v="Neha Patel"/>
    <s v="Surat"/>
    <x v="2"/>
    <n v="61"/>
    <x v="2"/>
    <s v="Pending"/>
    <x v="0"/>
  </r>
  <r>
    <s v="C117"/>
    <s v="P117"/>
    <s v="Noisefit smartwatch "/>
    <s v="Electronics"/>
    <n v="3"/>
    <n v="14700"/>
    <s v="Aryan Khan"/>
    <s v="Mumbai"/>
    <x v="7"/>
    <n v="31"/>
    <x v="1"/>
    <s v="Pending"/>
    <x v="0"/>
  </r>
  <r>
    <s v="C118"/>
    <s v="P118"/>
    <s v="Apple Iphone AIR 13pro max"/>
    <s v="Electronics"/>
    <n v="4"/>
    <n v="622500"/>
    <s v="Kavya Khanna"/>
    <s v="Delhi"/>
    <x v="14"/>
    <n v="27"/>
    <x v="1"/>
    <s v="Delivered"/>
    <x v="0"/>
  </r>
  <r>
    <s v="C119"/>
    <s v="P119"/>
    <s v="Hero12 Waterproof GoPro"/>
    <s v="Electronics"/>
    <n v="5"/>
    <n v="102600"/>
    <s v="Yash Kulkarni"/>
    <s v="Karnal"/>
    <x v="12"/>
    <n v="43"/>
    <x v="1"/>
    <s v="Delivered"/>
    <x v="1"/>
  </r>
  <r>
    <s v="C120"/>
    <s v="P120"/>
    <s v="Hero13 Waterproof GoPro"/>
    <s v="Electronics"/>
    <n v="6"/>
    <n v="176737.5"/>
    <s v="Riya Yadav"/>
    <s v="Jind"/>
    <x v="12"/>
    <n v="44"/>
    <x v="1"/>
    <s v="Delivered"/>
    <x v="0"/>
  </r>
  <r>
    <s v="C121"/>
    <s v="P121"/>
    <s v="hero12 Waterproof GoPro special Bundle"/>
    <s v="Electronics"/>
    <n v="7"/>
    <n v="563500"/>
    <s v="Dev Mathur"/>
    <s v="Rohtak"/>
    <x v="12"/>
    <n v="41"/>
    <x v="1"/>
    <s v="Delivered"/>
    <x v="0"/>
  </r>
  <r>
    <s v="C122"/>
    <s v="P122"/>
    <s v="Owl Showpiece Statues"/>
    <s v="Home &amp; décor"/>
    <n v="8"/>
    <n v="80000"/>
    <s v="Nisha Gupta"/>
    <s v="Varanasi"/>
    <x v="1"/>
    <n v="44"/>
    <x v="1"/>
    <s v="Delivered"/>
    <x v="0"/>
  </r>
  <r>
    <s v="C123"/>
    <s v="P123"/>
    <s v="Peacock Showpiece Statue"/>
    <s v="Home &amp; décor"/>
    <n v="9"/>
    <n v="113850"/>
    <s v="Siddharth Iyer"/>
    <s v="Vishakhapatnam"/>
    <x v="5"/>
    <n v="45"/>
    <x v="1"/>
    <s v="Delivered"/>
    <x v="0"/>
  </r>
  <r>
    <s v="C124"/>
    <s v="P124"/>
    <s v="Persian Carpet Red and White"/>
    <s v="Home &amp; décor"/>
    <n v="8"/>
    <n v="140000"/>
    <s v="Pooja Mishra"/>
    <s v="Ayodhya"/>
    <x v="1"/>
    <n v="45"/>
    <x v="1"/>
    <s v="Delivered"/>
    <x v="0"/>
  </r>
  <r>
    <s v="C125"/>
    <s v="P125"/>
    <s v="Persian Carpet blue and White"/>
    <s v="Home &amp; décor"/>
    <n v="9"/>
    <n v="175950"/>
    <s v="Varun Pandey"/>
    <s v="Ayodhya"/>
    <x v="1"/>
    <n v="45"/>
    <x v="1"/>
    <s v="Delivered"/>
    <x v="4"/>
  </r>
  <r>
    <s v="C126"/>
    <s v="P126"/>
    <s v="Gold Necklace Kalyan Jewlers"/>
    <s v="Jewelry"/>
    <n v="8"/>
    <n v="200000"/>
    <s v="Simran Srivastava"/>
    <s v="Ghaziabad"/>
    <x v="1"/>
    <n v="46"/>
    <x v="1"/>
    <s v="Delivered"/>
    <x v="4"/>
  </r>
  <r>
    <s v="C127"/>
    <s v="P127"/>
    <s v="Ivory Showpiece"/>
    <s v="Home &amp; décor"/>
    <n v="9"/>
    <n v="238050"/>
    <s v="Aniket Dutta"/>
    <s v="Noida"/>
    <x v="1"/>
    <n v="34"/>
    <x v="1"/>
    <s v="Delivered"/>
    <x v="4"/>
  </r>
  <r>
    <s v="C128"/>
    <s v="P128"/>
    <s v="Behoma Pure Brass Kalpvriksh Tree with Birds statue"/>
    <s v="Home &amp; décor"/>
    <n v="8"/>
    <n v="260000"/>
    <s v="Tanvi Sood"/>
    <s v="Chandigarh"/>
    <x v="12"/>
    <n v="32"/>
    <x v="1"/>
    <s v="Delivered"/>
    <x v="4"/>
  </r>
  <r>
    <s v="C129"/>
    <s v="P129"/>
    <s v="Behoma Pure Brass Kalpvriksh Tree with Birds statue"/>
    <s v="Home &amp; décor"/>
    <n v="9"/>
    <n v="300150"/>
    <s v="Manav Verma"/>
    <s v="Chandigarh"/>
    <x v="12"/>
    <n v="37"/>
    <x v="1"/>
    <s v="Delivered"/>
    <x v="4"/>
  </r>
  <r>
    <s v="C130"/>
    <s v="P130"/>
    <s v="GoPro MAX2 true 8k waterproof"/>
    <s v="Electronics"/>
    <n v="9"/>
    <n v="360000"/>
    <s v="Shreya Agarwal"/>
    <s v="Delhi"/>
    <x v="14"/>
    <n v="35"/>
    <x v="1"/>
    <s v="Pending"/>
    <x v="4"/>
  </r>
  <r>
    <s v="C131"/>
    <s v="P131"/>
    <s v="Sliver Plated Rearing Horse Statue"/>
    <s v="Home &amp; décor"/>
    <n v="9"/>
    <n v="434700"/>
    <s v="Vivaan Saxena"/>
    <s v="Delhi"/>
    <x v="14"/>
    <n v="43"/>
    <x v="1"/>
    <s v="Pending"/>
    <x v="4"/>
  </r>
  <r>
    <s v="C132"/>
    <s v="P132"/>
    <s v="Gold plated rearing Horse Statue "/>
    <s v="Art and collections"/>
    <n v="8"/>
    <n v="419520"/>
    <s v="Avni Tiwari"/>
    <s v="Delhi"/>
    <x v="14"/>
    <n v="45"/>
    <x v="1"/>
    <s v="Pending"/>
    <x v="4"/>
  </r>
  <r>
    <s v="C133"/>
    <s v="P133"/>
    <s v="Platinum Plated 7 rearing Horse Statue"/>
    <s v="Art and collections"/>
    <n v="7"/>
    <n v="344400"/>
    <s v="Reyansh Sinha"/>
    <s v="Delhi"/>
    <x v="14"/>
    <n v="44"/>
    <x v="1"/>
    <s v="Pending"/>
    <x v="4"/>
  </r>
  <r>
    <s v="C134"/>
    <s v="P134"/>
    <s v="Gold Plated 7 rearing Horse Statue"/>
    <s v="Art and collections"/>
    <n v="2"/>
    <n v="123500"/>
    <s v="Myra Banerjee"/>
    <s v="Kolkata"/>
    <x v="13"/>
    <n v="32"/>
    <x v="1"/>
    <s v="Pending"/>
    <x v="4"/>
  </r>
  <r>
    <s v="C135"/>
    <s v="P135"/>
    <s v="Gold Plated 2 rearing Horse Statue"/>
    <s v="Art and collections"/>
    <n v="2"/>
    <n v="122500"/>
    <s v="Krish Vohra"/>
    <s v="Mumbai"/>
    <x v="7"/>
    <n v="45"/>
    <x v="1"/>
    <s v="Pending"/>
    <x v="4"/>
  </r>
  <r>
    <s v="C136"/>
    <s v="P136"/>
    <s v="Silver Plated 2 Rearing Horse Statue"/>
    <s v="Art and collections"/>
    <n v="2"/>
    <n v="123600"/>
    <s v="Kiara Sharma"/>
    <s v="Pune"/>
    <x v="7"/>
    <n v="43"/>
    <x v="1"/>
    <s v="Pending"/>
    <x v="0"/>
  </r>
  <r>
    <s v="C137"/>
    <s v="P137"/>
    <s v="LG Smart LED TV"/>
    <s v="Electronics"/>
    <n v="1"/>
    <n v="89250"/>
    <s v="Atharv Bansal"/>
    <s v="Chandigarh"/>
    <x v="12"/>
    <n v="39"/>
    <x v="1"/>
    <s v="Pending"/>
    <x v="4"/>
  </r>
  <r>
    <s v="C138"/>
    <s v="P138"/>
    <s v="Redmi Smart LED TV"/>
    <s v="Electronics"/>
    <n v="1"/>
    <n v="97200"/>
    <s v="Anika Chopra"/>
    <s v="Noida"/>
    <x v="1"/>
    <n v="40"/>
    <x v="1"/>
    <s v="Pending"/>
    <x v="4"/>
  </r>
  <r>
    <s v="C139"/>
    <s v="P139"/>
    <s v="Pure Silver Plated Kamdhenu Cow statue"/>
    <s v="Home &amp; décor"/>
    <n v="2"/>
    <n v="128800"/>
    <s v="Dhruv Sethi"/>
    <s v="Ghaziabad"/>
    <x v="1"/>
    <n v="43"/>
    <x v="1"/>
    <s v="Pending"/>
    <x v="4"/>
  </r>
  <r>
    <s v="C140"/>
    <s v="P140"/>
    <s v="One plus Nord 6"/>
    <s v="Electronics"/>
    <n v="1"/>
    <n v="47250"/>
    <s v="Saanvi Jain"/>
    <s v="Kanpur"/>
    <x v="1"/>
    <n v="41"/>
    <x v="1"/>
    <s v="Pending"/>
    <x v="0"/>
  </r>
  <r>
    <s v="C141"/>
    <s v="P141"/>
    <s v="Victorinox Automatic swiss made watches"/>
    <s v="Fashion &amp; Acessories"/>
    <n v="3"/>
    <n v="94080"/>
    <s v="Rudra Mukherjee"/>
    <s v="Aurangabad"/>
    <x v="7"/>
    <n v="34"/>
    <x v="1"/>
    <s v="Pending"/>
    <x v="4"/>
  </r>
  <r>
    <s v="C142"/>
    <s v="P142"/>
    <s v="HP Victus Gaming Laptop"/>
    <s v="Electronics"/>
    <n v="1"/>
    <n v="281750"/>
    <s v="Navya Dubey"/>
    <s v="Aligarh "/>
    <x v="1"/>
    <n v="26"/>
    <x v="1"/>
    <s v="Pending"/>
    <x v="4"/>
  </r>
  <r>
    <s v="C143"/>
    <s v="P143"/>
    <s v="Oneplus Nord 6 smartphone"/>
    <s v="Electronics"/>
    <n v="2"/>
    <n v="79577.7"/>
    <s v="Ayush Naidu"/>
    <s v="Vizag"/>
    <x v="7"/>
    <n v="25"/>
    <x v="0"/>
    <s v="Pending"/>
    <x v="4"/>
  </r>
  <r>
    <s v="C144"/>
    <s v="P144"/>
    <s v="Canon EOS R100 DSLR"/>
    <s v="Electronics"/>
    <n v="3"/>
    <n v="164203.19999999998"/>
    <s v="Tanya Malhotra"/>
    <s v="Faridabad"/>
    <x v="12"/>
    <n v="29"/>
    <x v="1"/>
    <s v="Pending"/>
    <x v="0"/>
  </r>
  <r>
    <s v="C145"/>
    <s v="P145"/>
    <s v="Pure Silver Plated Kamdhenu Cow and calf statue"/>
    <s v="Art and collections"/>
    <n v="4"/>
    <n v="61725"/>
    <s v="Arnav Joshi"/>
    <s v="Kannauj"/>
    <x v="1"/>
    <n v="30"/>
    <x v="1"/>
    <s v="Pending"/>
    <x v="4"/>
  </r>
  <r>
    <s v="C146"/>
    <s v="P146"/>
    <s v="Samsung Galaxy M56 smartphone"/>
    <s v="Electronics"/>
    <n v="1"/>
    <n v="39000"/>
    <s v="Ira Chawla"/>
    <s v="Rohtak"/>
    <x v="12"/>
    <n v="32"/>
    <x v="1"/>
    <s v="Pending"/>
    <x v="4"/>
  </r>
  <r>
    <s v="C147"/>
    <s v="P147"/>
    <s v="Pure Platinum Plated Kamdhenu Cow statue"/>
    <s v="Art and collections"/>
    <n v="3"/>
    <n v="117180"/>
    <s v="Shaurya Goyal"/>
    <s v="Sonipat"/>
    <x v="12"/>
    <n v="31"/>
    <x v="1"/>
    <s v="Pending"/>
    <x v="4"/>
  </r>
  <r>
    <s v="C148"/>
    <s v="P148"/>
    <s v="Pure Platinum Plated Kamdhenu Cow and calf  statue"/>
    <s v="Home &amp; décor"/>
    <n v="3"/>
    <n v="110400"/>
    <s v="Mahi Pillai"/>
    <s v="Vizag"/>
    <x v="5"/>
    <n v="33"/>
    <x v="1"/>
    <s v="Pending"/>
    <x v="4"/>
  </r>
  <r>
    <s v="C149"/>
    <s v="P149"/>
    <s v="Pure Platinum 4 Rearing Horses Statues"/>
    <s v="Art and collections"/>
    <n v="3"/>
    <n v="103950"/>
    <s v="Parth Tripathi"/>
    <s v="Panipat"/>
    <x v="12"/>
    <n v="32"/>
    <x v="1"/>
    <s v="Pending"/>
    <x v="4"/>
  </r>
  <r>
    <s v="C150"/>
    <s v="P150"/>
    <s v="Pure Gold 2 Rearing Horses Statues"/>
    <s v="Art and collections"/>
    <n v="3"/>
    <n v="117300"/>
    <s v="Aanya Bhatt"/>
    <s v="Baghpat"/>
    <x v="12"/>
    <n v="23"/>
    <x v="0"/>
    <s v="Pending"/>
    <x v="4"/>
  </r>
  <r>
    <s v="C151"/>
    <s v="P151"/>
    <s v="Pure Gold 3 Rearing Horses Statues"/>
    <s v="Art and collections"/>
    <n v="4"/>
    <n v="161000"/>
    <s v="Aarav Malhotra"/>
    <s v="ghaziabad"/>
    <x v="1"/>
    <n v="26"/>
    <x v="1"/>
    <s v="Pending"/>
    <x v="0"/>
  </r>
  <r>
    <s v="C152"/>
    <s v="P152"/>
    <s v="Pure Gold 4 Rearing Horses Statues"/>
    <s v="Art and collections"/>
    <n v="4"/>
    <n v="187200"/>
    <s v="Aditi Joshi"/>
    <s v="Delhi"/>
    <x v="14"/>
    <n v="27"/>
    <x v="1"/>
    <s v="Pending"/>
    <x v="0"/>
  </r>
  <r>
    <s v="C153"/>
    <s v="P153"/>
    <s v="Pure Gold 5  Rearing Horses Statues"/>
    <s v="Art and collections"/>
    <n v="4"/>
    <n v="185000"/>
    <s v="Arjun Chawla"/>
    <s v="Mumbai"/>
    <x v="7"/>
    <n v="31"/>
    <x v="1"/>
    <s v="Pending"/>
    <x v="4"/>
  </r>
  <r>
    <s v="C154"/>
    <s v="P154"/>
    <s v="Pure Gold 5 Rearing Horses Statues"/>
    <s v="Art and collections"/>
    <n v="4"/>
    <n v="197600"/>
    <s v="Ananya Goyal"/>
    <s v="Meerut"/>
    <x v="1"/>
    <n v="32"/>
    <x v="1"/>
    <s v="Pending"/>
    <x v="4"/>
  </r>
  <r>
    <s v="C155"/>
    <s v="P155"/>
    <s v="Pure Gold 3 Rearing Horses Statues"/>
    <s v="Art and collections"/>
    <n v="4"/>
    <n v="198120"/>
    <s v="Aditya Pillai"/>
    <s v="Gurugram"/>
    <x v="12"/>
    <n v="37"/>
    <x v="1"/>
    <s v="Pending"/>
    <x v="4"/>
  </r>
  <r>
    <s v="C156"/>
    <s v="P156"/>
    <s v="Pure Gold 6 Rearing Horses Statues"/>
    <s v="Art and collections"/>
    <n v="4"/>
    <n v="201600"/>
    <s v="Ishita Dagar"/>
    <s v="Rohtak"/>
    <x v="12"/>
    <n v="65"/>
    <x v="2"/>
    <s v="Pending"/>
    <x v="3"/>
  </r>
  <r>
    <s v="C157"/>
    <s v="P157"/>
    <s v="Pure Gold  Rearing Horse Statues"/>
    <s v="Art and collections"/>
    <n v="5"/>
    <n v="254200"/>
    <s v="Kabir Bhatt"/>
    <s v="Srinagar"/>
    <x v="17"/>
    <n v="66"/>
    <x v="2"/>
    <s v="Pending"/>
    <x v="4"/>
  </r>
  <r>
    <s v="C158"/>
    <s v="P158"/>
    <s v="Pure Silver 4 Rearing Horses Statues"/>
    <s v="Art and collections"/>
    <n v="5"/>
    <n v="268800"/>
    <s v="Meera Kapoor"/>
    <s v="Srinagar"/>
    <x v="17"/>
    <n v="29"/>
    <x v="1"/>
    <s v="Pending"/>
    <x v="4"/>
  </r>
  <r>
    <s v="C159"/>
    <s v="P159"/>
    <s v="Pure Silver 2 rearing Horses Statues"/>
    <s v="Art and collections"/>
    <n v="5"/>
    <n v="277350"/>
    <s v="Rohan Nair"/>
    <s v="Vizag"/>
    <x v="5"/>
    <n v="32"/>
    <x v="1"/>
    <s v="Pending"/>
    <x v="0"/>
  </r>
  <r>
    <s v="C160"/>
    <s v="P160"/>
    <s v="Pure Platinum 4 Rearing Horses Statues"/>
    <s v="Art and collections"/>
    <n v="5"/>
    <n v="220000"/>
    <s v="Priya Rao"/>
    <s v="Faridabad"/>
    <x v="12"/>
    <n v="35"/>
    <x v="1"/>
    <s v="Pending"/>
    <x v="4"/>
  </r>
  <r>
    <s v="C161"/>
    <s v="P161"/>
    <s v="Pure Platinum 4 Rearing Horses Statues"/>
    <s v="Art and collections"/>
    <n v="5"/>
    <n v="225000"/>
    <s v="Rahul Bhatia"/>
    <s v="Chandigarh"/>
    <x v="12"/>
    <n v="27"/>
    <x v="1"/>
    <s v="Pending"/>
    <x v="0"/>
  </r>
  <r>
    <s v="C162"/>
    <s v="P162"/>
    <s v="Pure Platinum 4 Rearing Horses Statues"/>
    <s v="Home &amp; décor"/>
    <n v="5"/>
    <n v="230000"/>
    <s v="Sneha Menon"/>
    <s v="Kannauj"/>
    <x v="1"/>
    <n v="25"/>
    <x v="0"/>
    <s v="Pending"/>
    <x v="4"/>
  </r>
  <r>
    <s v="C163"/>
    <s v="P163"/>
    <s v="Pure Platinum 4 Rearing Horses Statues"/>
    <s v="Home &amp; décor"/>
    <n v="5"/>
    <n v="282000"/>
    <s v="Vihaan Shukla"/>
    <s v="Faridabad"/>
    <x v="12"/>
    <n v="29"/>
    <x v="1"/>
    <s v="Pending"/>
    <x v="4"/>
  </r>
  <r>
    <s v="C164"/>
    <s v="P164"/>
    <s v="Pure Platinum 4 Rearing Horses Statues"/>
    <s v="Home &amp; décor"/>
    <n v="5"/>
    <n v="325200"/>
    <s v="Diya Ahuja"/>
    <s v="Chandigarh"/>
    <x v="12"/>
    <n v="26"/>
    <x v="1"/>
    <s v="Pending"/>
    <x v="4"/>
  </r>
  <r>
    <s v="C165"/>
    <s v="P165"/>
    <s v="Pure Platinum 4 Rearing Horses Statues"/>
    <s v="Home &amp; décor"/>
    <n v="5"/>
    <n v="329525"/>
    <s v="Karan Singh"/>
    <s v="Gorakhpur"/>
    <x v="1"/>
    <n v="24"/>
    <x v="0"/>
    <s v="Pending"/>
    <x v="4"/>
  </r>
  <r>
    <s v="C166"/>
    <s v="P166"/>
    <s v="Samsung Refrigerator"/>
    <s v="Electronics"/>
    <n v="5"/>
    <n v="250000"/>
    <s v="Neha Reddy"/>
    <s v="Bareilly"/>
    <x v="1"/>
    <n v="21"/>
    <x v="0"/>
    <s v="Pending"/>
    <x v="4"/>
  </r>
  <r>
    <s v="C167"/>
    <s v="P167"/>
    <s v="Samsung Refrigerator"/>
    <s v="Electronics"/>
    <n v="5"/>
    <n v="331500"/>
    <s v="Aryan Das"/>
    <s v="Kolkata"/>
    <x v="13"/>
    <n v="31"/>
    <x v="1"/>
    <s v="Pending"/>
    <x v="4"/>
  </r>
  <r>
    <s v="C168"/>
    <s v="P168"/>
    <s v="LG Refrigerator"/>
    <s v="Electronics"/>
    <n v="6"/>
    <n v="405600"/>
    <s v="Kavya Arora"/>
    <s v="Gurugram"/>
    <x v="12"/>
    <n v="34"/>
    <x v="1"/>
    <s v="Pending"/>
    <x v="4"/>
  </r>
  <r>
    <s v="C169"/>
    <s v="P169"/>
    <s v="Voltas Refrigerator"/>
    <s v="Electronics"/>
    <n v="6"/>
    <n v="403860"/>
    <s v="Yash Desai"/>
    <s v="Gorakhpur"/>
    <x v="1"/>
    <n v="45"/>
    <x v="1"/>
    <s v="Pending"/>
    <x v="4"/>
  </r>
  <r>
    <s v="C170"/>
    <s v="P170"/>
    <s v="Samsung Refrigerator"/>
    <s v="Electronics"/>
    <n v="7"/>
    <n v="498960"/>
    <s v="Riya Thakur"/>
    <s v="Lucknow"/>
    <x v="1"/>
    <n v="42"/>
    <x v="1"/>
    <s v="Pending"/>
    <x v="4"/>
  </r>
  <r>
    <s v="C171"/>
    <s v="P171"/>
    <s v="Tredmills"/>
    <s v="Sports &amp; Fitness"/>
    <n v="6"/>
    <n v="448800"/>
    <s v="Dev Kohli"/>
    <s v="Faridabad"/>
    <x v="12"/>
    <n v="41"/>
    <x v="1"/>
    <s v="Pending"/>
    <x v="4"/>
  </r>
  <r>
    <s v="C172"/>
    <s v="P172"/>
    <s v="Premium Alloy Wheel set"/>
    <s v="Automotive"/>
    <n v="5"/>
    <n v="378000"/>
    <s v="Nishant Nagar"/>
    <s v="Baghpat"/>
    <x v="12"/>
    <n v="40"/>
    <x v="1"/>
    <s v="Pending"/>
    <x v="4"/>
  </r>
  <r>
    <s v="C173"/>
    <s v="P173"/>
    <s v="Samsung Luxury Home theater system"/>
    <s v="Electronics"/>
    <n v="4"/>
    <n v="296400"/>
    <s v="Siddharth Patel"/>
    <s v="Surat"/>
    <x v="2"/>
    <n v="43"/>
    <x v="1"/>
    <s v="Pending"/>
    <x v="4"/>
  </r>
  <r>
    <s v="C174"/>
    <s v="P174"/>
    <s v="Pure Platinum 4 Rearing Horses Statues"/>
    <s v="Home &amp; décor"/>
    <n v="3"/>
    <n v="222720"/>
    <s v="Pooja Khanna"/>
    <s v="Delhi"/>
    <x v="14"/>
    <n v="34"/>
    <x v="1"/>
    <s v="Pending"/>
    <x v="4"/>
  </r>
  <r>
    <s v="C175"/>
    <s v="P175"/>
    <s v="Pure Platinum 4 Rearing Horses Statues"/>
    <s v="Home &amp; décor"/>
    <n v="2"/>
    <n v="149860"/>
    <s v="Varun Khanna"/>
    <s v="Delhi"/>
    <x v="14"/>
    <n v="40"/>
    <x v="1"/>
    <s v="Pending"/>
    <x v="4"/>
  </r>
  <r>
    <s v="C176"/>
    <s v="P176"/>
    <s v="Acer Gaming Laptop"/>
    <s v="Electronics"/>
    <n v="1"/>
    <n v="75000"/>
    <s v="Simran Kulkarni"/>
    <s v="Nashik"/>
    <x v="7"/>
    <n v="31"/>
    <x v="1"/>
    <s v="Pending"/>
    <x v="4"/>
  </r>
  <r>
    <s v="C177"/>
    <s v="P177"/>
    <s v="Quartz Sculpture"/>
    <s v="Art and collections"/>
    <n v="2"/>
    <n v="146400"/>
    <s v="Aniket Yadav"/>
    <s v="Vadodra"/>
    <x v="2"/>
    <n v="40"/>
    <x v="1"/>
    <s v="Pending"/>
    <x v="4"/>
  </r>
  <r>
    <s v="C178"/>
    <s v="P178"/>
    <s v="AMO Electric Scooter"/>
    <s v="Automotive"/>
    <n v="1"/>
    <n v="74400"/>
    <s v="Tanvi Mathur"/>
    <s v="Nangloi"/>
    <x v="12"/>
    <n v="35"/>
    <x v="1"/>
    <s v="Pending"/>
    <x v="4"/>
  </r>
  <r>
    <s v="C179"/>
    <s v="P179"/>
    <s v="Brass Lord Buddha Statue"/>
    <s v="Art and collections"/>
    <n v="1"/>
    <n v="81900"/>
    <s v="Manav Gupta"/>
    <s v="Delhi"/>
    <x v="14"/>
    <n v="36"/>
    <x v="1"/>
    <s v="Pending"/>
    <x v="4"/>
  </r>
  <r>
    <s v="C180"/>
    <s v="P180"/>
    <s v="Gold Lord Buddha Statue"/>
    <s v="Art and collections"/>
    <n v="1"/>
    <n v="83200"/>
    <s v="Shreya Iyer"/>
    <s v="Vizag"/>
    <x v="5"/>
    <n v="28"/>
    <x v="1"/>
    <s v="Pending"/>
    <x v="4"/>
  </r>
  <r>
    <s v="C181"/>
    <s v="P181"/>
    <s v="Sliver Lord Buddha Statue"/>
    <s v="Art and collections"/>
    <n v="1"/>
    <n v="81250"/>
    <s v="Vivaan Mishra"/>
    <s v="Kannauj"/>
    <x v="1"/>
    <n v="26"/>
    <x v="1"/>
    <s v="Pending"/>
    <x v="4"/>
  </r>
  <r>
    <s v="C182"/>
    <s v="P182"/>
    <s v="Platinum Lord Buddha Statue"/>
    <s v="Art and collections"/>
    <n v="1"/>
    <n v="75900"/>
    <s v="Avni Pandey"/>
    <s v="Varanasi"/>
    <x v="1"/>
    <n v="25"/>
    <x v="0"/>
    <s v="Pending"/>
    <x v="0"/>
  </r>
  <r>
    <s v="C183"/>
    <s v="P183"/>
    <s v="Black Adiyogi Mahadeva Statue"/>
    <s v="Art and collections"/>
    <n v="1"/>
    <n v="87100"/>
    <s v="Reyansh Srivastava"/>
    <s v="Ayodhya"/>
    <x v="1"/>
    <n v="29"/>
    <x v="1"/>
    <s v="Pending"/>
    <x v="0"/>
  </r>
  <r>
    <s v="C184"/>
    <s v="P184"/>
    <s v="Pure Brass Natarajan Statue"/>
    <s v="Art and collections"/>
    <n v="1"/>
    <n v="88400"/>
    <s v="Myra Dutta"/>
    <s v="Gorakhpur"/>
    <x v="1"/>
    <n v="29"/>
    <x v="1"/>
    <s v="Pending"/>
    <x v="0"/>
  </r>
  <r>
    <s v="C185"/>
    <s v="P185"/>
    <s v="Pure Platinum Natarajan Statue "/>
    <s v="Art and collections"/>
    <n v="1"/>
    <n v="93150"/>
    <s v="Krish Sood"/>
    <s v="Amritsar"/>
    <x v="6"/>
    <n v="31"/>
    <x v="1"/>
    <s v="Pending"/>
    <x v="0"/>
  </r>
  <r>
    <s v="C186"/>
    <s v="P186"/>
    <s v="Ikea Furniture Set"/>
    <s v="Furniture"/>
    <n v="1"/>
    <n v="91000"/>
    <s v="Kiara Verma"/>
    <s v="Panipat"/>
    <x v="12"/>
    <n v="31"/>
    <x v="1"/>
    <s v="Pending"/>
    <x v="4"/>
  </r>
  <r>
    <s v="C187"/>
    <s v="P187"/>
    <s v="Cricket kit MRF"/>
    <s v="Sports &amp; Fitness"/>
    <n v="1"/>
    <n v="95850"/>
    <s v="Atharv Agarwal"/>
    <s v="Sonipat"/>
    <x v="12"/>
    <n v="26"/>
    <x v="1"/>
    <s v="Pending"/>
    <x v="4"/>
  </r>
  <r>
    <s v="C188"/>
    <s v="P188"/>
    <s v="Macbook"/>
    <s v="Electronics"/>
    <n v="1"/>
    <n v="92160"/>
    <s v="Anika Saxena"/>
    <s v="Gurugram"/>
    <x v="12"/>
    <n v="23"/>
    <x v="0"/>
    <s v="Pending"/>
    <x v="4"/>
  </r>
  <r>
    <s v="C189"/>
    <s v="P189"/>
    <s v="LG 2.5 Ton 5 star AC"/>
    <s v="Electronics"/>
    <n v="1"/>
    <n v="91250"/>
    <s v="Dhruv Tiwari"/>
    <s v="Baghpat"/>
    <x v="12"/>
    <n v="21"/>
    <x v="0"/>
    <s v="Pending"/>
    <x v="4"/>
  </r>
  <r>
    <s v="C190"/>
    <s v="P190"/>
    <s v="Nikon D7500 DSLR"/>
    <s v="Electronics"/>
    <n v="1"/>
    <n v="94720"/>
    <s v="Saanvi Sinha"/>
    <s v="Kanpur"/>
    <x v="1"/>
    <n v="24"/>
    <x v="0"/>
    <s v="Pending"/>
    <x v="4"/>
  </r>
  <r>
    <s v="C191"/>
    <s v="P191"/>
    <s v="Sony New Alpha DSLR"/>
    <s v="Electronics"/>
    <n v="1"/>
    <n v="93750"/>
    <s v="Rudra Banerjee"/>
    <s v="Kolkata"/>
    <x v="13"/>
    <n v="25"/>
    <x v="0"/>
    <s v="Pending"/>
    <x v="4"/>
  </r>
  <r>
    <s v="C192"/>
    <s v="P192"/>
    <s v="Nothing Phone 3A"/>
    <s v="Electronics"/>
    <n v="1"/>
    <n v="95000"/>
    <s v="Navya Vohra"/>
    <s v="Hampi"/>
    <x v="8"/>
    <n v="26"/>
    <x v="1"/>
    <s v="Pending"/>
    <x v="4"/>
  </r>
  <r>
    <s v="C193"/>
    <s v="P193"/>
    <s v="Iphone 11 pro max"/>
    <s v="Electronics"/>
    <n v="1"/>
    <n v="95788"/>
    <s v="Ayush Sharma"/>
    <s v="Gurugram"/>
    <x v="12"/>
    <n v="27"/>
    <x v="1"/>
    <s v="Pending"/>
    <x v="4"/>
  </r>
  <r>
    <s v="C194"/>
    <s v="P194"/>
    <s v="iphone 7"/>
    <s v="Electronics"/>
    <n v="1"/>
    <n v="96564"/>
    <s v="Tanya Bansal"/>
    <s v="Noida"/>
    <x v="1"/>
    <n v="25"/>
    <x v="0"/>
    <s v="Pending"/>
    <x v="4"/>
  </r>
  <r>
    <s v="C195"/>
    <s v="P195"/>
    <s v="iphone 8 pro max"/>
    <s v="Electronics"/>
    <n v="1"/>
    <n v="97328"/>
    <s v="Arnav Chopra"/>
    <s v="Delhi"/>
    <x v="14"/>
    <n v="29"/>
    <x v="1"/>
    <s v="Pending"/>
    <x v="4"/>
  </r>
  <r>
    <s v="C196"/>
    <s v="P196"/>
    <s v="iphone 8 pro"/>
    <s v="Electronics"/>
    <n v="1"/>
    <n v="98080"/>
    <s v="Ira Sethi"/>
    <s v="Noida"/>
    <x v="1"/>
    <n v="31"/>
    <x v="1"/>
    <s v="Pending"/>
    <x v="0"/>
  </r>
  <r>
    <s v="C197"/>
    <s v="P197"/>
    <s v="Iphone 10 pro "/>
    <s v="Electronics"/>
    <n v="1"/>
    <n v="98820"/>
    <s v="Shaurya Jain"/>
    <s v="Delhi"/>
    <x v="14"/>
    <n v="32"/>
    <x v="1"/>
    <s v="Pending"/>
    <x v="4"/>
  </r>
  <r>
    <s v="C198"/>
    <s v="P198"/>
    <s v="Iphone 10 pro max"/>
    <s v="Electronics"/>
    <n v="1"/>
    <n v="99548"/>
    <s v="Mahi Mukherjee"/>
    <s v="Gurugram"/>
    <x v="12"/>
    <n v="22"/>
    <x v="0"/>
    <s v="Pending"/>
    <x v="4"/>
  </r>
  <r>
    <s v="C199"/>
    <s v="P199"/>
    <s v="Asus Gaming PC"/>
    <s v="Electronics"/>
    <n v="1"/>
    <n v="100264"/>
    <s v="Parth Dubey"/>
    <s v="Gurugram"/>
    <x v="12"/>
    <n v="24"/>
    <x v="0"/>
    <s v="Pending"/>
    <x v="4"/>
  </r>
  <r>
    <s v="C200"/>
    <s v="P200"/>
    <s v="Lenovo Gaming PC"/>
    <s v="Electronics"/>
    <n v="1"/>
    <n v="116760"/>
    <s v="Aanya Naidu"/>
    <s v="Surat"/>
    <x v="2"/>
    <n v="23"/>
    <x v="0"/>
    <s v="Pending"/>
    <x v="4"/>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C001"/>
    <s v="P001"/>
    <s v="cartons of reynolds pens"/>
    <x v="0"/>
    <n v="4"/>
    <n v="4674.7999999999993"/>
    <s v="Aarav Mehta"/>
    <x v="0"/>
    <x v="0"/>
    <n v="21"/>
    <s v="student"/>
    <s v="Delivered"/>
    <s v="Credit Card"/>
  </r>
  <r>
    <s v="C002"/>
    <s v="P002"/>
    <s v="cartons of Uniball pens"/>
    <x v="0"/>
    <n v="5"/>
    <n v="4478.1000000000004"/>
    <s v="Aditi Patel"/>
    <x v="1"/>
    <x v="1"/>
    <n v="22"/>
    <s v="student"/>
    <s v="Delivered"/>
    <s v="UPI"/>
  </r>
  <r>
    <s v="C003"/>
    <s v="P003"/>
    <s v="cartons of flair easy click ballpoint pens"/>
    <x v="0"/>
    <n v="6"/>
    <n v="1050"/>
    <s v="Arjun Khanna"/>
    <x v="2"/>
    <x v="2"/>
    <n v="21"/>
    <s v="student"/>
    <s v="Delivered"/>
    <s v="Cash on delivery"/>
  </r>
  <r>
    <s v="C004"/>
    <s v="P004"/>
    <s v="cartons of hauser easy click ballpoint pens"/>
    <x v="0"/>
    <n v="7"/>
    <n v="1950.2"/>
    <s v="Ananya Khanna"/>
    <x v="3"/>
    <x v="3"/>
    <n v="19"/>
    <s v="student"/>
    <s v="Delivered"/>
    <s v="Cash on delivery"/>
  </r>
  <r>
    <s v="C005"/>
    <s v="P005"/>
    <s v="packet of Godrej Hair color"/>
    <x v="1"/>
    <n v="2"/>
    <n v="2250"/>
    <s v="Aditya Kulkarni"/>
    <x v="4"/>
    <x v="4"/>
    <n v="29"/>
    <s v="working adults"/>
    <s v="Delivered"/>
    <s v="Cash on delivery"/>
  </r>
  <r>
    <s v="C006"/>
    <s v="P006"/>
    <s v="Atta Cookies"/>
    <x v="2"/>
    <n v="3"/>
    <n v="4500"/>
    <s v="Ishita Yadav"/>
    <x v="5"/>
    <x v="1"/>
    <n v="34"/>
    <s v="working adults"/>
    <s v="Delivered"/>
    <s v="Cash on delivery"/>
  </r>
  <r>
    <s v="C007"/>
    <s v="P007"/>
    <s v="Mobile Accessories"/>
    <x v="3"/>
    <n v="4"/>
    <n v="4000"/>
    <s v="Kabir Mathur"/>
    <x v="6"/>
    <x v="5"/>
    <n v="35"/>
    <s v="working adults"/>
    <s v="Delivered"/>
    <s v="Cash on delivery"/>
  </r>
  <r>
    <s v="C008"/>
    <s v="P008"/>
    <s v="Oswal Sample paper books 12th class "/>
    <x v="0"/>
    <n v="5"/>
    <n v="4375"/>
    <s v="Meera Gupta"/>
    <x v="7"/>
    <x v="6"/>
    <n v="17"/>
    <s v="student"/>
    <s v="Delivered"/>
    <s v="Cash on delivery"/>
  </r>
  <r>
    <s v="C009"/>
    <s v="P009"/>
    <s v="Oswal Sample paper books 10th class "/>
    <x v="0"/>
    <n v="1"/>
    <n v="750"/>
    <s v="Rohan Iyer"/>
    <x v="8"/>
    <x v="7"/>
    <n v="16"/>
    <s v="student"/>
    <s v="Delivered"/>
    <s v="Cash on delivery"/>
  </r>
  <r>
    <s v="C010"/>
    <s v="P010"/>
    <s v="Lego set buy 2 get 1 free "/>
    <x v="4"/>
    <n v="3"/>
    <n v="11250"/>
    <s v="Priya Mishra"/>
    <x v="9"/>
    <x v="8"/>
    <n v="17"/>
    <s v="student"/>
    <s v="Delivered"/>
    <s v="Cash on delivery"/>
  </r>
  <r>
    <s v="C011"/>
    <s v="P011"/>
    <s v="packet of Kashmiri Walnuts"/>
    <x v="5"/>
    <n v="5"/>
    <n v="15000"/>
    <s v="Rahul Pandey"/>
    <x v="10"/>
    <x v="1"/>
    <n v="27"/>
    <s v="working adults"/>
    <s v="Pending"/>
    <s v="Credit Card"/>
  </r>
  <r>
    <s v="C012"/>
    <s v="P012"/>
    <s v="dryfruit Container Set"/>
    <x v="6"/>
    <n v="7"/>
    <n v="19320"/>
    <s v="Sneha Srivastava"/>
    <x v="11"/>
    <x v="6"/>
    <n v="32"/>
    <s v="working adults"/>
    <s v="Delivered"/>
    <s v="Credit Card"/>
  </r>
  <r>
    <s v="C013"/>
    <s v="P013"/>
    <s v="cuttlery items"/>
    <x v="6"/>
    <n v="9"/>
    <n v="22680"/>
    <s v="Vihaan Dutta"/>
    <x v="12"/>
    <x v="9"/>
    <n v="37"/>
    <s v="working adults"/>
    <s v="Pending"/>
    <s v="Credit Card"/>
  </r>
  <r>
    <s v="C014"/>
    <s v="P014"/>
    <s v="Diet coke can carton"/>
    <x v="7"/>
    <n v="11"/>
    <n v="25080"/>
    <s v="Diya Sood"/>
    <x v="13"/>
    <x v="9"/>
    <n v="41"/>
    <s v="working adults"/>
    <s v="Pending"/>
    <s v="Credit Card"/>
  </r>
  <r>
    <s v="C015"/>
    <s v="P015"/>
    <s v="Pepsi can carton"/>
    <x v="7"/>
    <n v="13"/>
    <n v="3900"/>
    <s v="Karan Verma"/>
    <x v="14"/>
    <x v="10"/>
    <n v="45"/>
    <s v="working adults"/>
    <s v="Delivered"/>
    <s v="Credit Card"/>
  </r>
  <r>
    <s v="C016"/>
    <s v="P016"/>
    <s v="Mountain Dew can carton"/>
    <x v="7"/>
    <n v="15"/>
    <n v="23400"/>
    <s v="Neha Agarwal"/>
    <x v="15"/>
    <x v="11"/>
    <n v="43"/>
    <s v="working adults"/>
    <s v="Pending"/>
    <s v="Credit Card"/>
  </r>
  <r>
    <s v="C017"/>
    <s v="P017"/>
    <s v="Thumsup can carton"/>
    <x v="7"/>
    <n v="17"/>
    <n v="63240"/>
    <s v="Aryan Saxena"/>
    <x v="16"/>
    <x v="12"/>
    <n v="41"/>
    <s v="working adults"/>
    <s v="Delivered"/>
    <s v="Credit Card"/>
  </r>
  <r>
    <s v="C018"/>
    <s v="P018"/>
    <s v="Antique Lion Statue"/>
    <x v="8"/>
    <n v="19"/>
    <n v="27360"/>
    <s v="Kavya Tiwari"/>
    <x v="17"/>
    <x v="1"/>
    <n v="57"/>
    <s v="working adults"/>
    <s v="Pending"/>
    <s v="Credit Card"/>
  </r>
  <r>
    <s v="C019"/>
    <s v="P019"/>
    <s v="Apparel Merchandises"/>
    <x v="9"/>
    <n v="21"/>
    <n v="27720"/>
    <s v="Yash Sinha"/>
    <x v="18"/>
    <x v="12"/>
    <n v="43"/>
    <s v="working adults"/>
    <s v="Pending"/>
    <s v="Credit Card"/>
  </r>
  <r>
    <s v="C020"/>
    <s v="P020"/>
    <s v="Automobile Accessories"/>
    <x v="10"/>
    <n v="5"/>
    <n v="13000"/>
    <s v="Riya Banerjee"/>
    <x v="19"/>
    <x v="13"/>
    <n v="26"/>
    <s v="working adults"/>
    <s v="Pending"/>
    <s v="Credit Card"/>
  </r>
  <r>
    <s v="C021"/>
    <s v="P021"/>
    <s v="Water Taps"/>
    <x v="11"/>
    <n v="3"/>
    <n v="12150"/>
    <s v="Dev Vohra"/>
    <x v="6"/>
    <x v="5"/>
    <n v="37"/>
    <s v="working adults"/>
    <s v="Delivered"/>
    <s v="Buy Now Pay later"/>
  </r>
  <r>
    <s v="C022"/>
    <s v="P022"/>
    <s v="Redmi Note 4 Mobile Cover"/>
    <x v="3"/>
    <n v="2"/>
    <n v="560"/>
    <s v="Nisha Sharma"/>
    <x v="20"/>
    <x v="12"/>
    <n v="19"/>
    <s v="student"/>
    <s v="Delivered"/>
    <s v="Cash on delivery"/>
  </r>
  <r>
    <s v="C023"/>
    <s v="P023"/>
    <s v="Micromax Smartphone"/>
    <x v="3"/>
    <n v="1"/>
    <n v="10560"/>
    <s v="Siddharth Bansal"/>
    <x v="21"/>
    <x v="12"/>
    <n v="25"/>
    <s v="student"/>
    <s v="Pending"/>
    <s v="Credit Card"/>
  </r>
  <r>
    <s v="C024"/>
    <s v="P024"/>
    <s v="Laptop Charger"/>
    <x v="3"/>
    <n v="4"/>
    <n v="6900"/>
    <s v="Pooja Chopra"/>
    <x v="20"/>
    <x v="12"/>
    <n v="45"/>
    <s v="working adults"/>
    <s v="Pending"/>
    <s v="Cash on delivery"/>
  </r>
  <r>
    <s v="C025"/>
    <s v="P025"/>
    <s v=" Painting"/>
    <x v="8"/>
    <n v="2"/>
    <n v="8100"/>
    <s v="Varun Sethi"/>
    <x v="18"/>
    <x v="12"/>
    <n v="36"/>
    <s v="working adults"/>
    <s v="Pending"/>
    <s v="Credit Card"/>
  </r>
  <r>
    <s v="C026"/>
    <s v="P026"/>
    <s v="cuttlery items"/>
    <x v="6"/>
    <n v="4"/>
    <n v="20800"/>
    <s v="Simran Jain"/>
    <x v="16"/>
    <x v="12"/>
    <n v="32"/>
    <s v="working adults"/>
    <s v="Pending"/>
    <s v="Buy Now Pay later"/>
  </r>
  <r>
    <s v="C027"/>
    <s v="P027"/>
    <s v="Cricket kit SG"/>
    <x v="12"/>
    <n v="2"/>
    <n v="14000"/>
    <s v="Aniket Mukherjee"/>
    <x v="18"/>
    <x v="12"/>
    <n v="17"/>
    <s v="student"/>
    <s v="Delivered"/>
    <s v="Credit Card"/>
  </r>
  <r>
    <s v="C028"/>
    <s v="P028"/>
    <s v="Lego Star wars set"/>
    <x v="4"/>
    <n v="6"/>
    <n v="41400"/>
    <s v="Tanvi Dubey"/>
    <x v="18"/>
    <x v="12"/>
    <n v="16"/>
    <s v="student"/>
    <s v="Delivered"/>
    <s v="EMI "/>
  </r>
  <r>
    <s v="C029"/>
    <s v="P029"/>
    <s v="Ikea Tables"/>
    <x v="13"/>
    <n v="3"/>
    <n v="46800"/>
    <s v="Manav Naidu"/>
    <x v="9"/>
    <x v="8"/>
    <n v="39"/>
    <s v="working adults"/>
    <s v="Pending"/>
    <s v="Buy Now Pay later"/>
  </r>
  <r>
    <s v="C030"/>
    <s v="P030"/>
    <s v="Hair Care kit for women"/>
    <x v="1"/>
    <n v="2"/>
    <n v="34500"/>
    <s v="Shreya Malhotra"/>
    <x v="9"/>
    <x v="8"/>
    <n v="29"/>
    <s v="working adults"/>
    <s v="Pending"/>
    <s v="EMI "/>
  </r>
  <r>
    <s v="C031"/>
    <s v="P031"/>
    <s v="Nothing Phone 3A"/>
    <x v="3"/>
    <n v="1"/>
    <n v="35650"/>
    <s v="Vivaan Joshi"/>
    <x v="22"/>
    <x v="14"/>
    <n v="31"/>
    <s v="working adults"/>
    <s v="Pending"/>
    <s v="EMI "/>
  </r>
  <r>
    <s v="C032"/>
    <s v="P032"/>
    <s v="Colgate Toothpaste"/>
    <x v="14"/>
    <n v="7"/>
    <n v="6615"/>
    <s v="Avni Chawla"/>
    <x v="22"/>
    <x v="14"/>
    <n v="26"/>
    <s v="working adults"/>
    <s v="Delivered"/>
    <s v="Cash on delivery"/>
  </r>
  <r>
    <s v="C033"/>
    <s v="P033"/>
    <s v="JBL Bluetooth Airpods"/>
    <x v="3"/>
    <n v="8"/>
    <n v="10800"/>
    <s v="Reyansh Goyal"/>
    <x v="22"/>
    <x v="14"/>
    <n v="31"/>
    <s v="working adults"/>
    <s v="Delivered"/>
    <s v="Credit Card"/>
  </r>
  <r>
    <s v="C034"/>
    <s v="P034"/>
    <s v="Boat Earphones"/>
    <x v="3"/>
    <n v="9"/>
    <n v="11340"/>
    <s v="Myra Pillai"/>
    <x v="22"/>
    <x v="14"/>
    <n v="42"/>
    <s v="working adults"/>
    <s v="Pending"/>
    <s v="Credit Card"/>
  </r>
  <r>
    <s v="C035"/>
    <s v="P035"/>
    <s v="Redmi Note 4 smartphone"/>
    <x v="3"/>
    <n v="10"/>
    <n v="125000"/>
    <s v="Krish Tripathi"/>
    <x v="22"/>
    <x v="14"/>
    <n v="52"/>
    <s v="working adults"/>
    <s v="Pending"/>
    <s v="Credit Card"/>
  </r>
  <r>
    <s v="C036"/>
    <s v="P036"/>
    <s v="Jaldhera Water meters"/>
    <x v="11"/>
    <n v="11"/>
    <n v="17160"/>
    <s v="Kiara Bhatt"/>
    <x v="22"/>
    <x v="14"/>
    <n v="37"/>
    <s v="working adults"/>
    <s v="Pending"/>
    <s v="Credit Card"/>
  </r>
  <r>
    <s v="C037"/>
    <s v="P037"/>
    <s v="Kranti Water meters"/>
    <x v="11"/>
    <n v="12"/>
    <n v="36864"/>
    <s v="Atharv Kapoor"/>
    <x v="22"/>
    <x v="14"/>
    <n v="34"/>
    <s v="working adults"/>
    <s v="Delivered"/>
    <s v="Credit Card"/>
  </r>
  <r>
    <s v="C038"/>
    <s v="P038"/>
    <s v="Boat rockerz Bluetooth headbands"/>
    <x v="3"/>
    <n v="13"/>
    <n v="42588"/>
    <s v="Anika Nair"/>
    <x v="22"/>
    <x v="14"/>
    <n v="38"/>
    <s v="working adults"/>
    <s v="Delivered"/>
    <s v="Credit Card"/>
  </r>
  <r>
    <s v="C039"/>
    <s v="P039"/>
    <s v="Milton Thermo Flask Water bottles cartons"/>
    <x v="15"/>
    <n v="14"/>
    <n v="48608"/>
    <s v="Dhruv Rao"/>
    <x v="22"/>
    <x v="14"/>
    <n v="54"/>
    <s v="working adults"/>
    <s v="Delivered"/>
    <s v="Credit Card"/>
  </r>
  <r>
    <s v="C040"/>
    <s v="P040"/>
    <s v="7up cold drink cartons"/>
    <x v="7"/>
    <n v="11"/>
    <n v="16802.5"/>
    <s v="Saanvi Bhatia"/>
    <x v="22"/>
    <x v="14"/>
    <n v="41"/>
    <s v="working adults"/>
    <s v="Delivered"/>
    <s v="Credit Card"/>
  </r>
  <r>
    <s v="C041"/>
    <s v="P041"/>
    <s v="Ikea Furniture Set"/>
    <x v="13"/>
    <n v="1"/>
    <n v="51750"/>
    <s v="Rudra Menon"/>
    <x v="22"/>
    <x v="14"/>
    <n v="30"/>
    <s v="working adults"/>
    <s v="Delivered"/>
    <s v="Credit Card"/>
  </r>
  <r>
    <s v="C042"/>
    <s v="P042"/>
    <s v="Cooking set"/>
    <x v="6"/>
    <n v="2"/>
    <n v="161000"/>
    <s v="Navya Shukla"/>
    <x v="18"/>
    <x v="12"/>
    <n v="24"/>
    <s v="student"/>
    <s v="Delivered"/>
    <s v="EMI "/>
  </r>
  <r>
    <s v="C043"/>
    <s v="P043"/>
    <s v="Crockery set"/>
    <x v="6"/>
    <n v="3"/>
    <n v="50700"/>
    <s v="Ayush Ahuja"/>
    <x v="18"/>
    <x v="12"/>
    <n v="25"/>
    <s v="student"/>
    <s v="Delivered"/>
    <s v="No Cost EMI"/>
  </r>
  <r>
    <s v="C044"/>
    <s v="P044"/>
    <s v="gaming mouse "/>
    <x v="3"/>
    <n v="14"/>
    <n v="245000"/>
    <s v="Tanya Singh"/>
    <x v="18"/>
    <x v="12"/>
    <n v="27"/>
    <s v="working adults"/>
    <s v="Delivered"/>
    <s v="Credit Card"/>
  </r>
  <r>
    <s v="C045"/>
    <s v="P045"/>
    <s v="Realme P4"/>
    <x v="3"/>
    <n v="10"/>
    <n v="300000"/>
    <s v="Arnav Reddy"/>
    <x v="18"/>
    <x v="12"/>
    <n v="29"/>
    <s v="working adults"/>
    <s v="Delivered"/>
    <s v="Credit Card"/>
  </r>
  <r>
    <s v="C046"/>
    <s v="P046"/>
    <s v="Mobile Accessories"/>
    <x v="3"/>
    <n v="9"/>
    <n v="18900"/>
    <s v="Ira Das"/>
    <x v="18"/>
    <x v="12"/>
    <n v="31"/>
    <s v="working adults"/>
    <s v="Delivered"/>
    <s v="Cash on delivery"/>
  </r>
  <r>
    <s v="C047"/>
    <s v="P047"/>
    <s v="Mobile Chargers"/>
    <x v="3"/>
    <n v="8"/>
    <n v="11200"/>
    <s v="Shaurya Arora"/>
    <x v="18"/>
    <x v="12"/>
    <n v="24"/>
    <s v="student"/>
    <s v="Delivered"/>
    <s v="Cash on delivery"/>
  </r>
  <r>
    <s v="C048"/>
    <s v="P048"/>
    <s v="International Business Indoor Games"/>
    <x v="4"/>
    <n v="7"/>
    <n v="13230"/>
    <s v="Mahi Desai"/>
    <x v="18"/>
    <x v="12"/>
    <n v="15"/>
    <s v="student"/>
    <s v="Delivered"/>
    <s v="Cash on delivery"/>
  </r>
  <r>
    <s v="C049"/>
    <s v="P049"/>
    <s v="Principle of Microecomics N.Gregory Mankiws"/>
    <x v="0"/>
    <n v="5"/>
    <n v="17500"/>
    <s v="Parth Thakur"/>
    <x v="18"/>
    <x v="12"/>
    <n v="21"/>
    <s v="student"/>
    <s v="Delivered"/>
    <s v="Cash on delivery"/>
  </r>
  <r>
    <s v="C050"/>
    <s v="P050"/>
    <s v="Camping Kit"/>
    <x v="12"/>
    <n v="4"/>
    <n v="22400"/>
    <s v="Aanya Kohli"/>
    <x v="18"/>
    <x v="12"/>
    <n v="31"/>
    <s v="working adults"/>
    <s v="Delivered"/>
    <s v="Cash on delivery"/>
  </r>
  <r>
    <s v="C051"/>
    <s v="P051"/>
    <s v="Kitchen toolset"/>
    <x v="6"/>
    <n v="3"/>
    <n v="12150"/>
    <s v="Aarav Singh"/>
    <x v="18"/>
    <x v="12"/>
    <n v="39"/>
    <s v="working adults"/>
    <s v="Delivered"/>
    <s v="Credit Card"/>
  </r>
  <r>
    <s v="C052"/>
    <s v="P052"/>
    <s v="One plus 11R"/>
    <x v="3"/>
    <n v="2"/>
    <n v="78000"/>
    <s v="Aditi Reddy"/>
    <x v="18"/>
    <x v="12"/>
    <n v="45"/>
    <s v="working adults"/>
    <s v="Pending"/>
    <s v="Credit Card"/>
  </r>
  <r>
    <s v="C053"/>
    <s v="P053"/>
    <s v="Redmi Note 5"/>
    <x v="3"/>
    <n v="1"/>
    <n v="19950"/>
    <s v="Arjun Das"/>
    <x v="18"/>
    <x v="12"/>
    <n v="23"/>
    <s v="student"/>
    <s v="Pending"/>
    <s v="EMI "/>
  </r>
  <r>
    <s v="C054"/>
    <s v="P054"/>
    <s v="Ubon Airpodes"/>
    <x v="3"/>
    <n v="11"/>
    <n v="11880"/>
    <s v="Ananya Arora"/>
    <x v="18"/>
    <x v="12"/>
    <n v="31"/>
    <s v="working adults"/>
    <s v="Delivered"/>
    <s v="Credit Card"/>
  </r>
  <r>
    <s v="C055"/>
    <s v="P055"/>
    <s v="Ubon wired earphones"/>
    <x v="3"/>
    <n v="12"/>
    <n v="15600"/>
    <s v="Aditya Desai"/>
    <x v="18"/>
    <x v="12"/>
    <n v="43"/>
    <s v="working adults"/>
    <s v="Delivered"/>
    <s v="Credit Card"/>
  </r>
  <r>
    <s v="C056"/>
    <s v="P056"/>
    <s v="Ubon Headbands"/>
    <x v="3"/>
    <n v="12"/>
    <n v="19152"/>
    <s v="Ishita Thakur"/>
    <x v="18"/>
    <x v="12"/>
    <n v="30"/>
    <s v="working adults"/>
    <s v="Delivered"/>
    <s v="EMI "/>
  </r>
  <r>
    <s v="C057"/>
    <s v="P057"/>
    <s v="Gaming keyboard"/>
    <x v="3"/>
    <n v="13"/>
    <n v="53820"/>
    <s v="Kabir Kohli"/>
    <x v="18"/>
    <x v="12"/>
    <n v="21"/>
    <s v="student"/>
    <s v="Pending"/>
    <s v="Credit Card"/>
  </r>
  <r>
    <s v="C058"/>
    <s v="P058"/>
    <s v="Cartons Of screws and other accessories"/>
    <x v="11"/>
    <n v="14"/>
    <n v="85050"/>
    <s v="Meera Mehta"/>
    <x v="18"/>
    <x v="12"/>
    <n v="23"/>
    <s v="student"/>
    <s v="Pending"/>
    <s v="No Cost EMI"/>
  </r>
  <r>
    <s v="C059"/>
    <s v="P059"/>
    <s v="Dog Toys"/>
    <x v="16"/>
    <n v="15"/>
    <n v="48000"/>
    <s v="Rohan Patel"/>
    <x v="18"/>
    <x v="12"/>
    <n v="51"/>
    <s v="working adults"/>
    <s v="Delivered"/>
    <s v="Buy Now Pay later"/>
  </r>
  <r>
    <s v="C060"/>
    <s v="P060"/>
    <s v="Real Mixed fruit Juice cartons"/>
    <x v="7"/>
    <n v="16"/>
    <n v="30500"/>
    <s v="Priya Khan"/>
    <x v="18"/>
    <x v="12"/>
    <n v="34"/>
    <s v="working adults"/>
    <s v="Pending"/>
    <s v="Buy Now Pay later"/>
  </r>
  <r>
    <s v="C061"/>
    <s v="P061"/>
    <s v="Lenovo Gaming PC"/>
    <x v="3"/>
    <n v="1"/>
    <n v="114750"/>
    <s v="Rahul Khanna"/>
    <x v="18"/>
    <x v="12"/>
    <n v="25"/>
    <s v="student"/>
    <s v="Delivered"/>
    <s v="Credit Card"/>
  </r>
  <r>
    <s v="C062"/>
    <s v="P062"/>
    <s v="Fancy Pencil Box kits"/>
    <x v="0"/>
    <n v="17"/>
    <n v="11475"/>
    <s v="Sneha Kulkarni"/>
    <x v="18"/>
    <x v="12"/>
    <n v="31"/>
    <s v="working adults"/>
    <s v="Pending"/>
    <s v="Cash on delivery"/>
  </r>
  <r>
    <s v="C063"/>
    <s v="P063"/>
    <s v="Redmi Note 3"/>
    <x v="3"/>
    <n v="18"/>
    <n v="19440"/>
    <s v="Vihaan Yadav"/>
    <x v="18"/>
    <x v="12"/>
    <n v="28"/>
    <s v="working adults"/>
    <s v="Pending"/>
    <s v="Cash on delivery"/>
  </r>
  <r>
    <s v="C064"/>
    <s v="P064"/>
    <s v="redmi Note 6"/>
    <x v="3"/>
    <n v="18"/>
    <n v="24300"/>
    <s v="Diya Mathur"/>
    <x v="18"/>
    <x v="12"/>
    <n v="27"/>
    <s v="working adults"/>
    <s v="Pending"/>
    <s v="Credit Card"/>
  </r>
  <r>
    <s v="C065"/>
    <s v="P065"/>
    <s v="redmi note 2"/>
    <x v="3"/>
    <n v="2"/>
    <n v="78000"/>
    <s v="Karan Gupta"/>
    <x v="18"/>
    <x v="12"/>
    <n v="21"/>
    <s v="student"/>
    <s v="Pending"/>
    <s v="No Cost EMI"/>
  </r>
  <r>
    <s v="C066"/>
    <s v="P066"/>
    <s v="PowerBank"/>
    <x v="3"/>
    <n v="3"/>
    <n v="15600"/>
    <s v="Neha Iyer"/>
    <x v="23"/>
    <x v="15"/>
    <n v="22"/>
    <s v="student"/>
    <s v="Pending"/>
    <s v="Credit Card"/>
  </r>
  <r>
    <s v="C067"/>
    <s v="P067"/>
    <s v="real apple Juice cartons"/>
    <x v="7"/>
    <n v="4"/>
    <n v="26000"/>
    <s v="Aryan Mishra"/>
    <x v="13"/>
    <x v="9"/>
    <n v="26"/>
    <s v="working adults"/>
    <s v="Pending"/>
    <s v="Credit Card"/>
  </r>
  <r>
    <s v="C068"/>
    <s v="P068"/>
    <s v="Sujata Mixer Juicer grinder"/>
    <x v="6"/>
    <n v="5"/>
    <n v="39000"/>
    <s v="Kavya Pandey"/>
    <x v="17"/>
    <x v="1"/>
    <n v="36"/>
    <s v="working adults"/>
    <s v="Pending"/>
    <s v="Credit Card"/>
  </r>
  <r>
    <s v="C069"/>
    <s v="P069"/>
    <s v="Prestige Pressure Cooker"/>
    <x v="6"/>
    <n v="6"/>
    <n v="8100"/>
    <s v="Yash Srivastava"/>
    <x v="17"/>
    <x v="1"/>
    <n v="32"/>
    <s v="working adults"/>
    <s v="Pending"/>
    <s v="Cash on delivery"/>
  </r>
  <r>
    <s v="C070"/>
    <s v="P070"/>
    <s v="Prestige Frying Pan"/>
    <x v="6"/>
    <n v="7"/>
    <n v="7560"/>
    <s v="Riya Dutta"/>
    <x v="24"/>
    <x v="7"/>
    <n v="41"/>
    <s v="working adults"/>
    <s v="Pending"/>
    <s v="Cash on delivery"/>
  </r>
  <r>
    <s v="C071"/>
    <s v="P071"/>
    <s v="Apsara Pencil cartons"/>
    <x v="0"/>
    <n v="8"/>
    <n v="2240"/>
    <s v="Dev Sood"/>
    <x v="25"/>
    <x v="6"/>
    <n v="41"/>
    <s v="working adults"/>
    <s v="Pending"/>
    <s v="Cash on delivery"/>
  </r>
  <r>
    <s v="C072"/>
    <s v="P072"/>
    <s v="Lion Antique Copper Statues"/>
    <x v="8"/>
    <n v="9"/>
    <n v="49572"/>
    <s v="Nisha Verma"/>
    <x v="2"/>
    <x v="2"/>
    <n v="32"/>
    <s v="working adults"/>
    <s v="Pending"/>
    <s v="Cash on delivery"/>
  </r>
  <r>
    <s v="C073"/>
    <s v="P073"/>
    <s v="Camlin Oil Pastel Cartons"/>
    <x v="0"/>
    <n v="10"/>
    <n v="19250"/>
    <s v="Siddharth Agarwal"/>
    <x v="16"/>
    <x v="12"/>
    <n v="26"/>
    <s v="working adults"/>
    <s v="Pending"/>
    <s v="Cash on delivery"/>
  </r>
  <r>
    <s v="C074"/>
    <s v="P074"/>
    <s v="Realme P4"/>
    <x v="3"/>
    <n v="1"/>
    <n v="40500"/>
    <s v="Pooja Saxena"/>
    <x v="26"/>
    <x v="1"/>
    <n v="24"/>
    <s v="student"/>
    <s v="Pending"/>
    <s v="Cash on delivery"/>
  </r>
  <r>
    <s v="C075"/>
    <s v="P075"/>
    <s v="Redmi Note 1"/>
    <x v="3"/>
    <n v="2"/>
    <n v="39200"/>
    <s v="Varun Tiwari"/>
    <x v="27"/>
    <x v="1"/>
    <n v="24"/>
    <s v="student"/>
    <s v="Pending"/>
    <s v="Cash on delivery"/>
  </r>
  <r>
    <s v="C076"/>
    <s v="P076"/>
    <s v="Alarm Clocks"/>
    <x v="17"/>
    <n v="3"/>
    <n v="4200"/>
    <s v="Simran Sinha"/>
    <x v="28"/>
    <x v="16"/>
    <n v="25"/>
    <s v="student"/>
    <s v="Delivered"/>
    <s v="Cash on delivery"/>
  </r>
  <r>
    <s v="C077"/>
    <s v="P077"/>
    <s v="Digital Alarm clocks"/>
    <x v="3"/>
    <n v="4"/>
    <n v="1400"/>
    <s v="Aniket Banerjee"/>
    <x v="19"/>
    <x v="13"/>
    <n v="26"/>
    <s v="working adults"/>
    <s v="Delivered"/>
    <s v="Cash on delivery"/>
  </r>
  <r>
    <s v="C078"/>
    <s v="P078"/>
    <s v="Kissan Mixedfruit Bread Jam"/>
    <x v="7"/>
    <n v="5"/>
    <n v="1225"/>
    <s v="Tanvi Vohra"/>
    <x v="19"/>
    <x v="13"/>
    <n v="20"/>
    <s v="student"/>
    <s v="Delivered"/>
    <s v="UPI"/>
  </r>
  <r>
    <s v="C079"/>
    <s v="P079"/>
    <s v="Screw Drivers"/>
    <x v="11"/>
    <n v="6"/>
    <n v="4200"/>
    <s v="Manav Sharma"/>
    <x v="22"/>
    <x v="14"/>
    <n v="32"/>
    <s v="working adults"/>
    <s v="Delivered"/>
    <s v="UPI"/>
  </r>
  <r>
    <s v="C080"/>
    <s v="P080"/>
    <s v="Pliers"/>
    <x v="11"/>
    <n v="7"/>
    <n v="6860"/>
    <s v="Shreya Bansal"/>
    <x v="6"/>
    <x v="5"/>
    <n v="33"/>
    <s v="working adults"/>
    <s v="Delivered"/>
    <s v="UPI"/>
  </r>
  <r>
    <s v="C081"/>
    <s v="P081"/>
    <s v="Peacock Statue"/>
    <x v="8"/>
    <n v="8"/>
    <n v="13440"/>
    <s v="Vivaan Chopra"/>
    <x v="26"/>
    <x v="1"/>
    <n v="45"/>
    <s v="working adults"/>
    <s v="Pending"/>
    <s v="UPI"/>
  </r>
  <r>
    <s v="C082"/>
    <s v="P082"/>
    <s v="Cat statue Showpiece"/>
    <x v="8"/>
    <n v="9"/>
    <n v="11340"/>
    <s v="Avni Sethi"/>
    <x v="26"/>
    <x v="1"/>
    <n v="47"/>
    <s v="working adults"/>
    <s v="Delivered"/>
    <s v="UPI"/>
  </r>
  <r>
    <s v="C083"/>
    <s v="P083"/>
    <s v="Dell Gaming PC"/>
    <x v="3"/>
    <n v="1"/>
    <n v="141750"/>
    <s v="Reyansh Jain"/>
    <x v="18"/>
    <x v="12"/>
    <n v="27"/>
    <s v="working adults"/>
    <s v="Pending"/>
    <s v="Credit Card"/>
  </r>
  <r>
    <s v="C084"/>
    <s v="P084"/>
    <s v="Cosco professional Cricket kit"/>
    <x v="12"/>
    <n v="2"/>
    <n v="31250"/>
    <s v="Myra Mukherjee"/>
    <x v="18"/>
    <x v="12"/>
    <n v="24"/>
    <s v="student"/>
    <s v="Pending"/>
    <s v="Credit Card"/>
  </r>
  <r>
    <s v="C085"/>
    <s v="P085"/>
    <s v="Toor Daal 5 kgs pkt"/>
    <x v="18"/>
    <n v="3"/>
    <n v="1470"/>
    <s v="Krish Dubey"/>
    <x v="18"/>
    <x v="12"/>
    <n v="29"/>
    <s v="working adults"/>
    <s v="Delivered"/>
    <s v="UPI"/>
  </r>
  <r>
    <s v="C086"/>
    <s v="P086"/>
    <s v="Arhar Daal 4 kgs pkt"/>
    <x v="18"/>
    <n v="4"/>
    <n v="3640"/>
    <s v="Kiara Naidu"/>
    <x v="12"/>
    <x v="9"/>
    <n v="37"/>
    <s v="working adults"/>
    <s v="Delivered"/>
    <s v="UPI"/>
  </r>
  <r>
    <s v="C087"/>
    <s v="P087"/>
    <s v="Sword showpiece collections"/>
    <x v="19"/>
    <n v="5"/>
    <n v="9425"/>
    <s v="Atharv Malhotra"/>
    <x v="26"/>
    <x v="1"/>
    <n v="39"/>
    <s v="working adults"/>
    <s v="Delivered"/>
    <s v="Credit Card"/>
  </r>
  <r>
    <s v="C088"/>
    <s v="P088"/>
    <s v="Jagannath temple Paintings"/>
    <x v="19"/>
    <n v="7"/>
    <n v="22750"/>
    <s v="Anika Joshi"/>
    <x v="29"/>
    <x v="7"/>
    <n v="43"/>
    <s v="working adults"/>
    <s v="Delivered"/>
    <s v="Credit Card"/>
  </r>
  <r>
    <s v="C089"/>
    <s v="P089"/>
    <s v="Lenovo Headbands"/>
    <x v="3"/>
    <n v="8"/>
    <n v="8948.7999999999993"/>
    <s v="Dhruv Chawla"/>
    <x v="22"/>
    <x v="14"/>
    <n v="28"/>
    <s v="working adults"/>
    <s v="Pending"/>
    <s v="UPI"/>
  </r>
  <r>
    <s v="C090"/>
    <s v="P090"/>
    <s v="Ubon Airpodes"/>
    <x v="3"/>
    <n v="8"/>
    <n v="12960"/>
    <s v="Saanvi Goyal"/>
    <x v="18"/>
    <x v="12"/>
    <n v="25"/>
    <s v="student"/>
    <s v="Pending"/>
    <s v="UPI"/>
  </r>
  <r>
    <s v="C091"/>
    <s v="P091"/>
    <s v="Kodak DSLR kit"/>
    <x v="3"/>
    <n v="8"/>
    <n v="35880"/>
    <s v="Rudra Pillai"/>
    <x v="13"/>
    <x v="9"/>
    <n v="23"/>
    <s v="student"/>
    <s v="Pending"/>
    <s v="Credit Card"/>
  </r>
  <r>
    <s v="C092"/>
    <s v="P092"/>
    <s v="Crax Cartons"/>
    <x v="18"/>
    <n v="9"/>
    <n v="94770"/>
    <s v="Navya Tripathi"/>
    <x v="30"/>
    <x v="1"/>
    <n v="65"/>
    <s v="Senior Citizen"/>
    <s v="Pending"/>
    <s v="Credit Card"/>
  </r>
  <r>
    <s v="C093"/>
    <s v="P093"/>
    <s v="Drawing and SketchBooks"/>
    <x v="0"/>
    <n v="6"/>
    <n v="4620"/>
    <s v="Ayush Bhatt"/>
    <x v="22"/>
    <x v="14"/>
    <n v="33"/>
    <s v="working adults"/>
    <s v="Pending"/>
    <s v="Credit Card"/>
  </r>
  <r>
    <s v="C094"/>
    <s v="P094"/>
    <s v="Samsung Airpods"/>
    <x v="3"/>
    <n v="5"/>
    <n v="8400"/>
    <s v="Tanya Kapoor"/>
    <x v="31"/>
    <x v="7"/>
    <n v="31"/>
    <s v="working adults"/>
    <s v="Pending"/>
    <s v="UPI"/>
  </r>
  <r>
    <s v="C095"/>
    <s v="P095"/>
    <s v="Penholder"/>
    <x v="0"/>
    <n v="4"/>
    <n v="1120"/>
    <s v="Arnav Nair"/>
    <x v="22"/>
    <x v="14"/>
    <n v="21"/>
    <s v="student"/>
    <s v="Pending"/>
    <s v="UPI"/>
  </r>
  <r>
    <s v="C096"/>
    <s v="P096"/>
    <s v="packet of Kashmiri Walnuts"/>
    <x v="5"/>
    <n v="3"/>
    <n v="2310"/>
    <s v="Ira Rao"/>
    <x v="32"/>
    <x v="17"/>
    <n v="32"/>
    <s v="working adults"/>
    <s v="Pending"/>
    <s v="UPI"/>
  </r>
  <r>
    <s v="C097"/>
    <s v="P097"/>
    <s v="Noisefit smartwatch buy 2 get one free"/>
    <x v="3"/>
    <n v="3"/>
    <n v="2730"/>
    <s v="Shaurya Bhatia"/>
    <x v="33"/>
    <x v="12"/>
    <n v="33"/>
    <s v="working adults"/>
    <s v="Pending"/>
    <s v="UPI"/>
  </r>
  <r>
    <s v="C098"/>
    <s v="P098"/>
    <s v="Boult Airpods "/>
    <x v="3"/>
    <n v="8"/>
    <n v="33600"/>
    <s v="Mahi Menon"/>
    <x v="34"/>
    <x v="4"/>
    <n v="30"/>
    <s v="working adults"/>
    <s v="Pending"/>
    <s v="Credit Card"/>
  </r>
  <r>
    <s v="C099"/>
    <s v="P099"/>
    <s v="Camlin Brushpens set"/>
    <x v="0"/>
    <n v="7"/>
    <n v="6860"/>
    <s v="Parth Shukla"/>
    <x v="34"/>
    <x v="4"/>
    <n v="22"/>
    <s v="student"/>
    <s v="Pending"/>
    <s v="UPI"/>
  </r>
  <r>
    <s v="C100"/>
    <s v="P100"/>
    <s v="Lava Agni 4 5g"/>
    <x v="3"/>
    <n v="6"/>
    <n v="100050"/>
    <s v="Aanya Ahuja"/>
    <x v="22"/>
    <x v="14"/>
    <n v="25"/>
    <s v="student"/>
    <s v="Pending"/>
    <s v="Credit Card"/>
  </r>
  <r>
    <s v="C101"/>
    <s v="P101"/>
    <s v="Lava Agni 3 5g"/>
    <x v="3"/>
    <n v="5"/>
    <n v="75000"/>
    <s v="Aarav Kapoor"/>
    <x v="22"/>
    <x v="14"/>
    <n v="24"/>
    <s v="student"/>
    <s v="Pending"/>
    <s v="Credit Card"/>
  </r>
  <r>
    <s v="C102"/>
    <s v="P102"/>
    <s v="Poco C85x 5g Smartphone"/>
    <x v="3"/>
    <n v="4"/>
    <n v="52500"/>
    <s v="Aditi Nair"/>
    <x v="23"/>
    <x v="15"/>
    <n v="23"/>
    <s v="student"/>
    <s v="Pending"/>
    <s v="Credit Card"/>
  </r>
  <r>
    <s v="C103"/>
    <s v="P103"/>
    <s v="Redmi A7 pro 5g"/>
    <x v="3"/>
    <n v="5"/>
    <n v="156250"/>
    <s v="Arjun Rao"/>
    <x v="31"/>
    <x v="7"/>
    <n v="26"/>
    <s v="working adults"/>
    <s v="Pending"/>
    <s v="EMI "/>
  </r>
  <r>
    <s v="C104"/>
    <s v="P104"/>
    <s v="Realme Narzo 80 Lite 5G"/>
    <x v="3"/>
    <n v="3"/>
    <n v="46800"/>
    <s v="Ananya Bhatia"/>
    <x v="22"/>
    <x v="14"/>
    <n v="27"/>
    <s v="working adults"/>
    <s v="Pending"/>
    <s v="No Cost EMI"/>
  </r>
  <r>
    <s v="C105"/>
    <s v="P105"/>
    <s v="Lava Blaze Duo 3 5g"/>
    <x v="3"/>
    <n v="2"/>
    <n v="46000"/>
    <s v="Aditya Menon"/>
    <x v="30"/>
    <x v="1"/>
    <n v="27"/>
    <s v="working adults"/>
    <s v="Pending"/>
    <s v="Credit Card"/>
  </r>
  <r>
    <s v="C106"/>
    <s v="P106"/>
    <s v="IQOO Z10 Lite 5G"/>
    <x v="3"/>
    <n v="3"/>
    <n v="111600"/>
    <s v="Ishita Shukla"/>
    <x v="16"/>
    <x v="12"/>
    <n v="28"/>
    <s v="working adults"/>
    <s v="Pending"/>
    <s v="EMI "/>
  </r>
  <r>
    <s v="C107"/>
    <s v="P107"/>
    <s v="One Plus N6 "/>
    <x v="3"/>
    <n v="4"/>
    <n v="216000"/>
    <s v="Kabir Ahuja"/>
    <x v="18"/>
    <x v="12"/>
    <n v="29"/>
    <s v="working adults"/>
    <s v="Pending"/>
    <s v="EMI "/>
  </r>
  <r>
    <s v="C108"/>
    <s v="P108"/>
    <s v="Haier 9kg Oceanus Fully Automatic top load washing machine"/>
    <x v="3"/>
    <n v="4"/>
    <n v="172800"/>
    <s v="Meera Singh"/>
    <x v="22"/>
    <x v="14"/>
    <n v="31"/>
    <s v="working adults"/>
    <s v="Pending"/>
    <s v="No Cost EMI"/>
  </r>
  <r>
    <s v="C109"/>
    <s v="P109"/>
    <s v="Crompton geyser 15ltrs"/>
    <x v="3"/>
    <n v="2"/>
    <n v="189000"/>
    <s v="Rohan Reddy"/>
    <x v="9"/>
    <x v="8"/>
    <n v="32"/>
    <s v="working adults"/>
    <s v="Pending"/>
    <s v="No Cost EMI"/>
  </r>
  <r>
    <s v="C110"/>
    <s v="P110"/>
    <s v="AO Smith Geyser 15ltrs"/>
    <x v="3"/>
    <n v="11"/>
    <n v="223080"/>
    <s v="Priya Das"/>
    <x v="19"/>
    <x v="13"/>
    <n v="33"/>
    <s v="working adults"/>
    <s v="Pending"/>
    <s v="EMI "/>
  </r>
  <r>
    <s v="C111"/>
    <s v="P111"/>
    <s v="Voltas 1.5 ton 3 star Air Conditioner"/>
    <x v="3"/>
    <n v="22"/>
    <n v="632500"/>
    <s v="Rahul Arora"/>
    <x v="18"/>
    <x v="12"/>
    <n v="45"/>
    <s v="working adults"/>
    <s v="Pending"/>
    <s v="Buy Now Pay later"/>
  </r>
  <r>
    <s v="C112"/>
    <s v="P112"/>
    <s v="Diesel Mr daddy 2.0 Men's watches"/>
    <x v="20"/>
    <n v="13"/>
    <n v="236600"/>
    <s v="Sneha Desai"/>
    <x v="30"/>
    <x v="1"/>
    <n v="44"/>
    <s v="working adults"/>
    <s v="Pending"/>
    <s v="Buy Now Pay later"/>
  </r>
  <r>
    <s v="C113"/>
    <s v="P113"/>
    <s v="Diesel Mr daddy 2.0 stainless steel Men's watches"/>
    <x v="20"/>
    <n v="15"/>
    <n v="151875"/>
    <s v="Vihaan Thakur"/>
    <x v="16"/>
    <x v="12"/>
    <n v="56"/>
    <s v="working adults"/>
    <s v="Pending"/>
    <s v="No Cost EMI"/>
  </r>
  <r>
    <s v="C114"/>
    <s v="P114"/>
    <s v="Tommy hilfiger Men's watches"/>
    <x v="20"/>
    <n v="15"/>
    <n v="87750"/>
    <s v="Diya Kohli"/>
    <x v="22"/>
    <x v="14"/>
    <n v="57"/>
    <s v="working adults"/>
    <s v="Pending"/>
    <s v="EMI "/>
  </r>
  <r>
    <s v="C115"/>
    <s v="P115"/>
    <s v="Olev's Men's watches"/>
    <x v="20"/>
    <n v="16"/>
    <n v="31320"/>
    <s v="Karan Mehta"/>
    <x v="35"/>
    <x v="2"/>
    <n v="58"/>
    <s v="working adults"/>
    <s v="Pending"/>
    <s v="UPI"/>
  </r>
  <r>
    <s v="C116"/>
    <s v="P116"/>
    <s v="Kodak Selfie stick"/>
    <x v="3"/>
    <n v="2"/>
    <n v="31250"/>
    <s v="Neha Patel"/>
    <x v="35"/>
    <x v="2"/>
    <n v="61"/>
    <s v="Senior Citizen"/>
    <s v="Pending"/>
    <s v="Credit Card"/>
  </r>
  <r>
    <s v="C117"/>
    <s v="P117"/>
    <s v="Noisefit smartwatch "/>
    <x v="3"/>
    <n v="3"/>
    <n v="14700"/>
    <s v="Aryan Khan"/>
    <x v="29"/>
    <x v="7"/>
    <n v="31"/>
    <s v="working adults"/>
    <s v="Pending"/>
    <s v="Credit Card"/>
  </r>
  <r>
    <s v="C118"/>
    <s v="P118"/>
    <s v="Apple Iphone AIR 13pro max"/>
    <x v="3"/>
    <n v="4"/>
    <n v="622500"/>
    <s v="Kavya Khanna"/>
    <x v="22"/>
    <x v="14"/>
    <n v="27"/>
    <s v="working adults"/>
    <s v="Delivered"/>
    <s v="Credit Card"/>
  </r>
  <r>
    <s v="C119"/>
    <s v="P119"/>
    <s v="Hero12 Waterproof GoPro"/>
    <x v="3"/>
    <n v="5"/>
    <n v="102600"/>
    <s v="Yash Kulkarni"/>
    <x v="33"/>
    <x v="12"/>
    <n v="43"/>
    <s v="working adults"/>
    <s v="Delivered"/>
    <s v="UPI"/>
  </r>
  <r>
    <s v="C120"/>
    <s v="P120"/>
    <s v="Hero13 Waterproof GoPro"/>
    <x v="3"/>
    <n v="6"/>
    <n v="176737.5"/>
    <s v="Riya Yadav"/>
    <x v="21"/>
    <x v="12"/>
    <n v="44"/>
    <s v="working adults"/>
    <s v="Delivered"/>
    <s v="Credit Card"/>
  </r>
  <r>
    <s v="C121"/>
    <s v="P121"/>
    <s v="hero12 Waterproof GoPro special Bundle"/>
    <x v="3"/>
    <n v="7"/>
    <n v="563500"/>
    <s v="Dev Mathur"/>
    <x v="20"/>
    <x v="12"/>
    <n v="41"/>
    <s v="working adults"/>
    <s v="Delivered"/>
    <s v="Credit Card"/>
  </r>
  <r>
    <s v="C122"/>
    <s v="P122"/>
    <s v="Owl Showpiece Statues"/>
    <x v="19"/>
    <n v="8"/>
    <n v="80000"/>
    <s v="Nisha Gupta"/>
    <x v="36"/>
    <x v="1"/>
    <n v="44"/>
    <s v="working adults"/>
    <s v="Delivered"/>
    <s v="Credit Card"/>
  </r>
  <r>
    <s v="C123"/>
    <s v="P123"/>
    <s v="Peacock Showpiece Statue"/>
    <x v="19"/>
    <n v="9"/>
    <n v="113850"/>
    <s v="Siddharth Iyer"/>
    <x v="37"/>
    <x v="5"/>
    <n v="45"/>
    <s v="working adults"/>
    <s v="Delivered"/>
    <s v="Credit Card"/>
  </r>
  <r>
    <s v="C124"/>
    <s v="P124"/>
    <s v="Persian Carpet Red and White"/>
    <x v="19"/>
    <n v="8"/>
    <n v="140000"/>
    <s v="Pooja Mishra"/>
    <x v="38"/>
    <x v="1"/>
    <n v="45"/>
    <s v="working adults"/>
    <s v="Delivered"/>
    <s v="Credit Card"/>
  </r>
  <r>
    <s v="C125"/>
    <s v="P125"/>
    <s v="Persian Carpet blue and White"/>
    <x v="19"/>
    <n v="9"/>
    <n v="175950"/>
    <s v="Varun Pandey"/>
    <x v="38"/>
    <x v="1"/>
    <n v="45"/>
    <s v="working adults"/>
    <s v="Delivered"/>
    <s v="EMI "/>
  </r>
  <r>
    <s v="C126"/>
    <s v="P126"/>
    <s v="Gold Necklace Kalyan Jewlers"/>
    <x v="21"/>
    <n v="8"/>
    <n v="200000"/>
    <s v="Simran Srivastava"/>
    <x v="30"/>
    <x v="1"/>
    <n v="46"/>
    <s v="working adults"/>
    <s v="Delivered"/>
    <s v="EMI "/>
  </r>
  <r>
    <s v="C127"/>
    <s v="P127"/>
    <s v="Ivory Showpiece"/>
    <x v="19"/>
    <n v="9"/>
    <n v="238050"/>
    <s v="Aniket Dutta"/>
    <x v="26"/>
    <x v="1"/>
    <n v="34"/>
    <s v="working adults"/>
    <s v="Delivered"/>
    <s v="EMI "/>
  </r>
  <r>
    <s v="C128"/>
    <s v="P128"/>
    <s v="Behoma Pure Brass Kalpvriksh Tree with Birds statue"/>
    <x v="19"/>
    <n v="8"/>
    <n v="260000"/>
    <s v="Tanvi Sood"/>
    <x v="11"/>
    <x v="12"/>
    <n v="32"/>
    <s v="working adults"/>
    <s v="Delivered"/>
    <s v="EMI "/>
  </r>
  <r>
    <s v="C129"/>
    <s v="P129"/>
    <s v="Behoma Pure Brass Kalpvriksh Tree with Birds statue"/>
    <x v="19"/>
    <n v="9"/>
    <n v="300150"/>
    <s v="Manav Verma"/>
    <x v="11"/>
    <x v="12"/>
    <n v="37"/>
    <s v="working adults"/>
    <s v="Delivered"/>
    <s v="EMI "/>
  </r>
  <r>
    <s v="C130"/>
    <s v="P130"/>
    <s v="GoPro MAX2 true 8k waterproof"/>
    <x v="3"/>
    <n v="9"/>
    <n v="360000"/>
    <s v="Shreya Agarwal"/>
    <x v="22"/>
    <x v="14"/>
    <n v="35"/>
    <s v="working adults"/>
    <s v="Pending"/>
    <s v="EMI "/>
  </r>
  <r>
    <s v="C131"/>
    <s v="P131"/>
    <s v="Sliver Plated Rearing Horse Statue"/>
    <x v="19"/>
    <n v="9"/>
    <n v="434700"/>
    <s v="Vivaan Saxena"/>
    <x v="22"/>
    <x v="14"/>
    <n v="43"/>
    <s v="working adults"/>
    <s v="Pending"/>
    <s v="EMI "/>
  </r>
  <r>
    <s v="C132"/>
    <s v="P132"/>
    <s v="Gold plated rearing Horse Statue "/>
    <x v="8"/>
    <n v="8"/>
    <n v="419520"/>
    <s v="Avni Tiwari"/>
    <x v="22"/>
    <x v="14"/>
    <n v="45"/>
    <s v="working adults"/>
    <s v="Pending"/>
    <s v="EMI "/>
  </r>
  <r>
    <s v="C133"/>
    <s v="P133"/>
    <s v="Platinum Plated 7 rearing Horse Statue"/>
    <x v="8"/>
    <n v="7"/>
    <n v="344400"/>
    <s v="Reyansh Sinha"/>
    <x v="22"/>
    <x v="14"/>
    <n v="44"/>
    <s v="working adults"/>
    <s v="Pending"/>
    <s v="EMI "/>
  </r>
  <r>
    <s v="C134"/>
    <s v="P134"/>
    <s v="Gold Plated 7 rearing Horse Statue"/>
    <x v="8"/>
    <n v="2"/>
    <n v="123500"/>
    <s v="Myra Banerjee"/>
    <x v="19"/>
    <x v="13"/>
    <n v="32"/>
    <s v="working adults"/>
    <s v="Pending"/>
    <s v="EMI "/>
  </r>
  <r>
    <s v="C135"/>
    <s v="P135"/>
    <s v="Gold Plated 2 rearing Horse Statue"/>
    <x v="8"/>
    <n v="2"/>
    <n v="122500"/>
    <s v="Krish Vohra"/>
    <x v="29"/>
    <x v="7"/>
    <n v="45"/>
    <s v="working adults"/>
    <s v="Pending"/>
    <s v="EMI "/>
  </r>
  <r>
    <s v="C136"/>
    <s v="P136"/>
    <s v="Silver Plated 2 Rearing Horse Statue"/>
    <x v="8"/>
    <n v="2"/>
    <n v="123600"/>
    <s v="Kiara Sharma"/>
    <x v="31"/>
    <x v="7"/>
    <n v="43"/>
    <s v="working adults"/>
    <s v="Pending"/>
    <s v="Credit Card"/>
  </r>
  <r>
    <s v="C137"/>
    <s v="P137"/>
    <s v="LG Smart LED TV"/>
    <x v="3"/>
    <n v="1"/>
    <n v="89250"/>
    <s v="Atharv Bansal"/>
    <x v="11"/>
    <x v="12"/>
    <n v="39"/>
    <s v="working adults"/>
    <s v="Pending"/>
    <s v="EMI "/>
  </r>
  <r>
    <s v="C138"/>
    <s v="P138"/>
    <s v="Redmi Smart LED TV"/>
    <x v="3"/>
    <n v="1"/>
    <n v="97200"/>
    <s v="Anika Chopra"/>
    <x v="26"/>
    <x v="1"/>
    <n v="40"/>
    <s v="working adults"/>
    <s v="Pending"/>
    <s v="EMI "/>
  </r>
  <r>
    <s v="C139"/>
    <s v="P139"/>
    <s v="Pure Silver Plated Kamdhenu Cow statue"/>
    <x v="19"/>
    <n v="2"/>
    <n v="128800"/>
    <s v="Dhruv Sethi"/>
    <x v="30"/>
    <x v="1"/>
    <n v="43"/>
    <s v="working adults"/>
    <s v="Pending"/>
    <s v="EMI "/>
  </r>
  <r>
    <s v="C140"/>
    <s v="P140"/>
    <s v="One plus Nord 6"/>
    <x v="3"/>
    <n v="1"/>
    <n v="47250"/>
    <s v="Saanvi Jain"/>
    <x v="17"/>
    <x v="1"/>
    <n v="41"/>
    <s v="working adults"/>
    <s v="Pending"/>
    <s v="Credit Card"/>
  </r>
  <r>
    <s v="C141"/>
    <s v="P141"/>
    <s v="Victorinox Automatic swiss made watches"/>
    <x v="20"/>
    <n v="3"/>
    <n v="94080"/>
    <s v="Rudra Mukherjee"/>
    <x v="8"/>
    <x v="7"/>
    <n v="34"/>
    <s v="working adults"/>
    <s v="Pending"/>
    <s v="EMI "/>
  </r>
  <r>
    <s v="C142"/>
    <s v="P142"/>
    <s v="HP Victus Gaming Laptop"/>
    <x v="3"/>
    <n v="1"/>
    <n v="281750"/>
    <s v="Navya Dubey"/>
    <x v="5"/>
    <x v="1"/>
    <n v="26"/>
    <s v="working adults"/>
    <s v="Pending"/>
    <s v="EMI "/>
  </r>
  <r>
    <s v="C143"/>
    <s v="P143"/>
    <s v="Oneplus Nord 6 smartphone"/>
    <x v="3"/>
    <n v="2"/>
    <n v="79577.7"/>
    <s v="Ayush Naidu"/>
    <x v="39"/>
    <x v="7"/>
    <n v="25"/>
    <s v="student"/>
    <s v="Pending"/>
    <s v="EMI "/>
  </r>
  <r>
    <s v="C144"/>
    <s v="P144"/>
    <s v="Canon EOS R100 DSLR"/>
    <x v="3"/>
    <n v="3"/>
    <n v="164203.19999999998"/>
    <s v="Tanya Malhotra"/>
    <x v="16"/>
    <x v="12"/>
    <n v="29"/>
    <s v="working adults"/>
    <s v="Pending"/>
    <s v="Credit Card"/>
  </r>
  <r>
    <s v="C145"/>
    <s v="P145"/>
    <s v="Pure Silver Plated Kamdhenu Cow and calf statue"/>
    <x v="8"/>
    <n v="4"/>
    <n v="61725"/>
    <s v="Arnav Joshi"/>
    <x v="40"/>
    <x v="1"/>
    <n v="30"/>
    <s v="working adults"/>
    <s v="Pending"/>
    <s v="EMI "/>
  </r>
  <r>
    <s v="C146"/>
    <s v="P146"/>
    <s v="Samsung Galaxy M56 smartphone"/>
    <x v="3"/>
    <n v="1"/>
    <n v="39000"/>
    <s v="Ira Chawla"/>
    <x v="20"/>
    <x v="12"/>
    <n v="32"/>
    <s v="working adults"/>
    <s v="Pending"/>
    <s v="EMI "/>
  </r>
  <r>
    <s v="C147"/>
    <s v="P147"/>
    <s v="Pure Platinum Plated Kamdhenu Cow statue"/>
    <x v="8"/>
    <n v="3"/>
    <n v="117180"/>
    <s v="Shaurya Goyal"/>
    <x v="41"/>
    <x v="12"/>
    <n v="31"/>
    <s v="working adults"/>
    <s v="Pending"/>
    <s v="EMI "/>
  </r>
  <r>
    <s v="C148"/>
    <s v="P148"/>
    <s v="Pure Platinum Plated Kamdhenu Cow and calf  statue"/>
    <x v="19"/>
    <n v="3"/>
    <n v="110400"/>
    <s v="Mahi Pillai"/>
    <x v="39"/>
    <x v="5"/>
    <n v="33"/>
    <s v="working adults"/>
    <s v="Pending"/>
    <s v="EMI "/>
  </r>
  <r>
    <s v="C149"/>
    <s v="P149"/>
    <s v="Pure Platinum 4 Rearing Horses Statues"/>
    <x v="8"/>
    <n v="3"/>
    <n v="103950"/>
    <s v="Parth Tripathi"/>
    <x v="42"/>
    <x v="12"/>
    <n v="32"/>
    <s v="working adults"/>
    <s v="Pending"/>
    <s v="EMI "/>
  </r>
  <r>
    <s v="C150"/>
    <s v="P150"/>
    <s v="Pure Gold 2 Rearing Horses Statues"/>
    <x v="8"/>
    <n v="3"/>
    <n v="117300"/>
    <s v="Aanya Bhatt"/>
    <x v="43"/>
    <x v="12"/>
    <n v="23"/>
    <s v="student"/>
    <s v="Pending"/>
    <s v="EMI "/>
  </r>
  <r>
    <s v="C151"/>
    <s v="P151"/>
    <s v="Pure Gold 3 Rearing Horses Statues"/>
    <x v="8"/>
    <n v="4"/>
    <n v="161000"/>
    <s v="Aarav Malhotra"/>
    <x v="30"/>
    <x v="1"/>
    <n v="26"/>
    <s v="working adults"/>
    <s v="Pending"/>
    <s v="Credit Card"/>
  </r>
  <r>
    <s v="C152"/>
    <s v="P152"/>
    <s v="Pure Gold 4 Rearing Horses Statues"/>
    <x v="8"/>
    <n v="4"/>
    <n v="187200"/>
    <s v="Aditi Joshi"/>
    <x v="22"/>
    <x v="14"/>
    <n v="27"/>
    <s v="working adults"/>
    <s v="Pending"/>
    <s v="Credit Card"/>
  </r>
  <r>
    <s v="C153"/>
    <s v="P153"/>
    <s v="Pure Gold 5  Rearing Horses Statues"/>
    <x v="8"/>
    <n v="4"/>
    <n v="185000"/>
    <s v="Arjun Chawla"/>
    <x v="29"/>
    <x v="7"/>
    <n v="31"/>
    <s v="working adults"/>
    <s v="Pending"/>
    <s v="EMI "/>
  </r>
  <r>
    <s v="C154"/>
    <s v="P154"/>
    <s v="Pure Gold 5 Rearing Horses Statues"/>
    <x v="8"/>
    <n v="4"/>
    <n v="197600"/>
    <s v="Ananya Goyal"/>
    <x v="27"/>
    <x v="1"/>
    <n v="32"/>
    <s v="working adults"/>
    <s v="Pending"/>
    <s v="EMI "/>
  </r>
  <r>
    <s v="C155"/>
    <s v="P155"/>
    <s v="Pure Gold 3 Rearing Horses Statues"/>
    <x v="8"/>
    <n v="4"/>
    <n v="198120"/>
    <s v="Aditya Pillai"/>
    <x v="18"/>
    <x v="12"/>
    <n v="37"/>
    <s v="working adults"/>
    <s v="Pending"/>
    <s v="EMI "/>
  </r>
  <r>
    <s v="C156"/>
    <s v="P156"/>
    <s v="Pure Gold 6 Rearing Horses Statues"/>
    <x v="8"/>
    <n v="4"/>
    <n v="201600"/>
    <s v="Ishita Dagar"/>
    <x v="20"/>
    <x v="12"/>
    <n v="65"/>
    <s v="Senior Citizen"/>
    <s v="Pending"/>
    <s v="Buy Now Pay later"/>
  </r>
  <r>
    <s v="C157"/>
    <s v="P157"/>
    <s v="Pure Gold  Rearing Horse Statues"/>
    <x v="8"/>
    <n v="5"/>
    <n v="254200"/>
    <s v="Kabir Bhatt"/>
    <x v="44"/>
    <x v="17"/>
    <n v="66"/>
    <s v="Senior Citizen"/>
    <s v="Pending"/>
    <s v="EMI "/>
  </r>
  <r>
    <s v="C158"/>
    <s v="P158"/>
    <s v="Pure Silver 4 Rearing Horses Statues"/>
    <x v="8"/>
    <n v="5"/>
    <n v="268800"/>
    <s v="Meera Kapoor"/>
    <x v="44"/>
    <x v="17"/>
    <n v="29"/>
    <s v="working adults"/>
    <s v="Pending"/>
    <s v="EMI "/>
  </r>
  <r>
    <s v="C159"/>
    <s v="P159"/>
    <s v="Pure Silver 2 rearing Horses Statues"/>
    <x v="8"/>
    <n v="5"/>
    <n v="277350"/>
    <s v="Rohan Nair"/>
    <x v="39"/>
    <x v="5"/>
    <n v="32"/>
    <s v="working adults"/>
    <s v="Pending"/>
    <s v="Credit Card"/>
  </r>
  <r>
    <s v="C160"/>
    <s v="P160"/>
    <s v="Pure Platinum 4 Rearing Horses Statues"/>
    <x v="8"/>
    <n v="5"/>
    <n v="220000"/>
    <s v="Priya Rao"/>
    <x v="16"/>
    <x v="12"/>
    <n v="35"/>
    <s v="working adults"/>
    <s v="Pending"/>
    <s v="EMI "/>
  </r>
  <r>
    <s v="C161"/>
    <s v="P161"/>
    <s v="Pure Platinum 4 Rearing Horses Statues"/>
    <x v="8"/>
    <n v="5"/>
    <n v="225000"/>
    <s v="Rahul Bhatia"/>
    <x v="11"/>
    <x v="12"/>
    <n v="27"/>
    <s v="working adults"/>
    <s v="Pending"/>
    <s v="Credit Card"/>
  </r>
  <r>
    <s v="C162"/>
    <s v="P162"/>
    <s v="Pure Platinum 4 Rearing Horses Statues"/>
    <x v="19"/>
    <n v="5"/>
    <n v="230000"/>
    <s v="Sneha Menon"/>
    <x v="40"/>
    <x v="1"/>
    <n v="25"/>
    <s v="student"/>
    <s v="Pending"/>
    <s v="EMI "/>
  </r>
  <r>
    <s v="C163"/>
    <s v="P163"/>
    <s v="Pure Platinum 4 Rearing Horses Statues"/>
    <x v="19"/>
    <n v="5"/>
    <n v="282000"/>
    <s v="Vihaan Shukla"/>
    <x v="16"/>
    <x v="12"/>
    <n v="29"/>
    <s v="working adults"/>
    <s v="Pending"/>
    <s v="EMI "/>
  </r>
  <r>
    <s v="C164"/>
    <s v="P164"/>
    <s v="Pure Platinum 4 Rearing Horses Statues"/>
    <x v="19"/>
    <n v="5"/>
    <n v="325200"/>
    <s v="Diya Ahuja"/>
    <x v="11"/>
    <x v="12"/>
    <n v="26"/>
    <s v="working adults"/>
    <s v="Pending"/>
    <s v="EMI "/>
  </r>
  <r>
    <s v="C165"/>
    <s v="P165"/>
    <s v="Pure Platinum 4 Rearing Horses Statues"/>
    <x v="19"/>
    <n v="5"/>
    <n v="329525"/>
    <s v="Karan Singh"/>
    <x v="45"/>
    <x v="1"/>
    <n v="24"/>
    <s v="student"/>
    <s v="Pending"/>
    <s v="EMI "/>
  </r>
  <r>
    <s v="C166"/>
    <s v="P166"/>
    <s v="Samsung Refrigerator"/>
    <x v="3"/>
    <n v="5"/>
    <n v="250000"/>
    <s v="Neha Reddy"/>
    <x v="10"/>
    <x v="1"/>
    <n v="21"/>
    <s v="student"/>
    <s v="Pending"/>
    <s v="EMI "/>
  </r>
  <r>
    <s v="C167"/>
    <s v="P167"/>
    <s v="Samsung Refrigerator"/>
    <x v="3"/>
    <n v="5"/>
    <n v="331500"/>
    <s v="Aryan Das"/>
    <x v="19"/>
    <x v="13"/>
    <n v="31"/>
    <s v="working adults"/>
    <s v="Pending"/>
    <s v="EMI "/>
  </r>
  <r>
    <s v="C168"/>
    <s v="P168"/>
    <s v="LG Refrigerator"/>
    <x v="3"/>
    <n v="6"/>
    <n v="405600"/>
    <s v="Kavya Arora"/>
    <x v="18"/>
    <x v="12"/>
    <n v="34"/>
    <s v="working adults"/>
    <s v="Pending"/>
    <s v="EMI "/>
  </r>
  <r>
    <s v="C169"/>
    <s v="P169"/>
    <s v="Voltas Refrigerator"/>
    <x v="3"/>
    <n v="6"/>
    <n v="403860"/>
    <s v="Yash Desai"/>
    <x v="45"/>
    <x v="1"/>
    <n v="45"/>
    <s v="working adults"/>
    <s v="Pending"/>
    <s v="EMI "/>
  </r>
  <r>
    <s v="C170"/>
    <s v="P170"/>
    <s v="Samsung Refrigerator"/>
    <x v="3"/>
    <n v="7"/>
    <n v="498960"/>
    <s v="Riya Thakur"/>
    <x v="46"/>
    <x v="1"/>
    <n v="42"/>
    <s v="working adults"/>
    <s v="Pending"/>
    <s v="EMI "/>
  </r>
  <r>
    <s v="C171"/>
    <s v="P171"/>
    <s v="Tredmills"/>
    <x v="12"/>
    <n v="6"/>
    <n v="448800"/>
    <s v="Dev Kohli"/>
    <x v="16"/>
    <x v="12"/>
    <n v="41"/>
    <s v="working adults"/>
    <s v="Pending"/>
    <s v="EMI "/>
  </r>
  <r>
    <s v="C172"/>
    <s v="P172"/>
    <s v="Premium Alloy Wheel set"/>
    <x v="10"/>
    <n v="5"/>
    <n v="378000"/>
    <s v="Nishant Nagar"/>
    <x v="43"/>
    <x v="12"/>
    <n v="40"/>
    <s v="working adults"/>
    <s v="Pending"/>
    <s v="EMI "/>
  </r>
  <r>
    <s v="C173"/>
    <s v="P173"/>
    <s v="Samsung Luxury Home theater system"/>
    <x v="3"/>
    <n v="4"/>
    <n v="296400"/>
    <s v="Siddharth Patel"/>
    <x v="35"/>
    <x v="2"/>
    <n v="43"/>
    <s v="working adults"/>
    <s v="Pending"/>
    <s v="EMI "/>
  </r>
  <r>
    <s v="C174"/>
    <s v="P174"/>
    <s v="Pure Platinum 4 Rearing Horses Statues"/>
    <x v="19"/>
    <n v="3"/>
    <n v="222720"/>
    <s v="Pooja Khanna"/>
    <x v="22"/>
    <x v="14"/>
    <n v="34"/>
    <s v="working adults"/>
    <s v="Pending"/>
    <s v="EMI "/>
  </r>
  <r>
    <s v="C175"/>
    <s v="P175"/>
    <s v="Pure Platinum 4 Rearing Horses Statues"/>
    <x v="19"/>
    <n v="2"/>
    <n v="149860"/>
    <s v="Varun Khanna"/>
    <x v="22"/>
    <x v="14"/>
    <n v="40"/>
    <s v="working adults"/>
    <s v="Pending"/>
    <s v="EMI "/>
  </r>
  <r>
    <s v="C176"/>
    <s v="P176"/>
    <s v="Acer Gaming Laptop"/>
    <x v="3"/>
    <n v="1"/>
    <n v="75000"/>
    <s v="Simran Kulkarni"/>
    <x v="47"/>
    <x v="7"/>
    <n v="31"/>
    <s v="working adults"/>
    <s v="Pending"/>
    <s v="EMI "/>
  </r>
  <r>
    <s v="C177"/>
    <s v="P177"/>
    <s v="Quartz Sculpture"/>
    <x v="8"/>
    <n v="2"/>
    <n v="146400"/>
    <s v="Aniket Yadav"/>
    <x v="48"/>
    <x v="2"/>
    <n v="40"/>
    <s v="working adults"/>
    <s v="Pending"/>
    <s v="EMI "/>
  </r>
  <r>
    <s v="C178"/>
    <s v="P178"/>
    <s v="AMO Electric Scooter"/>
    <x v="10"/>
    <n v="1"/>
    <n v="74400"/>
    <s v="Tanvi Mathur"/>
    <x v="49"/>
    <x v="12"/>
    <n v="35"/>
    <s v="working adults"/>
    <s v="Pending"/>
    <s v="EMI "/>
  </r>
  <r>
    <s v="C179"/>
    <s v="P179"/>
    <s v="Brass Lord Buddha Statue"/>
    <x v="8"/>
    <n v="1"/>
    <n v="81900"/>
    <s v="Manav Gupta"/>
    <x v="22"/>
    <x v="14"/>
    <n v="36"/>
    <s v="working adults"/>
    <s v="Pending"/>
    <s v="EMI "/>
  </r>
  <r>
    <s v="C180"/>
    <s v="P180"/>
    <s v="Gold Lord Buddha Statue"/>
    <x v="8"/>
    <n v="1"/>
    <n v="83200"/>
    <s v="Shreya Iyer"/>
    <x v="39"/>
    <x v="5"/>
    <n v="28"/>
    <s v="working adults"/>
    <s v="Pending"/>
    <s v="EMI "/>
  </r>
  <r>
    <s v="C181"/>
    <s v="P181"/>
    <s v="Sliver Lord Buddha Statue"/>
    <x v="8"/>
    <n v="1"/>
    <n v="81250"/>
    <s v="Vivaan Mishra"/>
    <x v="40"/>
    <x v="1"/>
    <n v="26"/>
    <s v="working adults"/>
    <s v="Pending"/>
    <s v="EMI "/>
  </r>
  <r>
    <s v="C182"/>
    <s v="P182"/>
    <s v="Platinum Lord Buddha Statue"/>
    <x v="8"/>
    <n v="1"/>
    <n v="75900"/>
    <s v="Avni Pandey"/>
    <x v="36"/>
    <x v="1"/>
    <n v="25"/>
    <s v="student"/>
    <s v="Pending"/>
    <s v="Credit Card"/>
  </r>
  <r>
    <s v="C183"/>
    <s v="P183"/>
    <s v="Black Adiyogi Mahadeva Statue"/>
    <x v="8"/>
    <n v="1"/>
    <n v="87100"/>
    <s v="Reyansh Srivastava"/>
    <x v="38"/>
    <x v="1"/>
    <n v="29"/>
    <s v="working adults"/>
    <s v="Pending"/>
    <s v="Credit Card"/>
  </r>
  <r>
    <s v="C184"/>
    <s v="P184"/>
    <s v="Pure Brass Natarajan Statue"/>
    <x v="8"/>
    <n v="1"/>
    <n v="88400"/>
    <s v="Myra Dutta"/>
    <x v="45"/>
    <x v="1"/>
    <n v="29"/>
    <s v="working adults"/>
    <s v="Pending"/>
    <s v="Credit Card"/>
  </r>
  <r>
    <s v="C185"/>
    <s v="P185"/>
    <s v="Pure Platinum Natarajan Statue "/>
    <x v="8"/>
    <n v="1"/>
    <n v="93150"/>
    <s v="Krish Sood"/>
    <x v="7"/>
    <x v="6"/>
    <n v="31"/>
    <s v="working adults"/>
    <s v="Pending"/>
    <s v="Credit Card"/>
  </r>
  <r>
    <s v="C186"/>
    <s v="P186"/>
    <s v="Ikea Furniture Set"/>
    <x v="13"/>
    <n v="1"/>
    <n v="91000"/>
    <s v="Kiara Verma"/>
    <x v="42"/>
    <x v="12"/>
    <n v="31"/>
    <s v="working adults"/>
    <s v="Pending"/>
    <s v="EMI "/>
  </r>
  <r>
    <s v="C187"/>
    <s v="P187"/>
    <s v="Cricket kit MRF"/>
    <x v="12"/>
    <n v="1"/>
    <n v="95850"/>
    <s v="Atharv Agarwal"/>
    <x v="41"/>
    <x v="12"/>
    <n v="26"/>
    <s v="working adults"/>
    <s v="Pending"/>
    <s v="EMI "/>
  </r>
  <r>
    <s v="C188"/>
    <s v="P188"/>
    <s v="Macbook"/>
    <x v="3"/>
    <n v="1"/>
    <n v="92160"/>
    <s v="Anika Saxena"/>
    <x v="18"/>
    <x v="12"/>
    <n v="23"/>
    <s v="student"/>
    <s v="Pending"/>
    <s v="EMI "/>
  </r>
  <r>
    <s v="C189"/>
    <s v="P189"/>
    <s v="LG 2.5 Ton 5 star AC"/>
    <x v="3"/>
    <n v="1"/>
    <n v="91250"/>
    <s v="Dhruv Tiwari"/>
    <x v="43"/>
    <x v="12"/>
    <n v="21"/>
    <s v="student"/>
    <s v="Pending"/>
    <s v="EMI "/>
  </r>
  <r>
    <s v="C190"/>
    <s v="P190"/>
    <s v="Nikon D7500 DSLR"/>
    <x v="3"/>
    <n v="1"/>
    <n v="94720"/>
    <s v="Saanvi Sinha"/>
    <x v="17"/>
    <x v="1"/>
    <n v="24"/>
    <s v="student"/>
    <s v="Pending"/>
    <s v="EMI "/>
  </r>
  <r>
    <s v="C191"/>
    <s v="P191"/>
    <s v="Sony New Alpha DSLR"/>
    <x v="3"/>
    <n v="1"/>
    <n v="93750"/>
    <s v="Rudra Banerjee"/>
    <x v="19"/>
    <x v="13"/>
    <n v="25"/>
    <s v="student"/>
    <s v="Pending"/>
    <s v="EMI "/>
  </r>
  <r>
    <s v="C192"/>
    <s v="P192"/>
    <s v="Nothing Phone 3A"/>
    <x v="3"/>
    <n v="1"/>
    <n v="95000"/>
    <s v="Navya Vohra"/>
    <x v="50"/>
    <x v="8"/>
    <n v="26"/>
    <s v="working adults"/>
    <s v="Pending"/>
    <s v="EMI "/>
  </r>
  <r>
    <s v="C193"/>
    <s v="P193"/>
    <s v="Iphone 11 pro max"/>
    <x v="3"/>
    <n v="1"/>
    <n v="95788"/>
    <s v="Ayush Sharma"/>
    <x v="18"/>
    <x v="12"/>
    <n v="27"/>
    <s v="working adults"/>
    <s v="Pending"/>
    <s v="EMI "/>
  </r>
  <r>
    <s v="C194"/>
    <s v="P194"/>
    <s v="iphone 7"/>
    <x v="3"/>
    <n v="1"/>
    <n v="96564"/>
    <s v="Tanya Bansal"/>
    <x v="26"/>
    <x v="1"/>
    <n v="25"/>
    <s v="student"/>
    <s v="Pending"/>
    <s v="EMI "/>
  </r>
  <r>
    <s v="C195"/>
    <s v="P195"/>
    <s v="iphone 8 pro max"/>
    <x v="3"/>
    <n v="1"/>
    <n v="97328"/>
    <s v="Arnav Chopra"/>
    <x v="22"/>
    <x v="14"/>
    <n v="29"/>
    <s v="working adults"/>
    <s v="Pending"/>
    <s v="EMI "/>
  </r>
  <r>
    <s v="C196"/>
    <s v="P196"/>
    <s v="iphone 8 pro"/>
    <x v="3"/>
    <n v="1"/>
    <n v="98080"/>
    <s v="Ira Sethi"/>
    <x v="26"/>
    <x v="1"/>
    <n v="31"/>
    <s v="working adults"/>
    <s v="Pending"/>
    <s v="Credit Card"/>
  </r>
  <r>
    <s v="C197"/>
    <s v="P197"/>
    <s v="Iphone 10 pro "/>
    <x v="3"/>
    <n v="1"/>
    <n v="98820"/>
    <s v="Shaurya Jain"/>
    <x v="22"/>
    <x v="14"/>
    <n v="32"/>
    <s v="working adults"/>
    <s v="Pending"/>
    <s v="EMI "/>
  </r>
  <r>
    <s v="C198"/>
    <s v="P198"/>
    <s v="Iphone 10 pro max"/>
    <x v="3"/>
    <n v="1"/>
    <n v="99548"/>
    <s v="Mahi Mukherjee"/>
    <x v="18"/>
    <x v="12"/>
    <n v="22"/>
    <s v="student"/>
    <s v="Pending"/>
    <s v="EMI "/>
  </r>
  <r>
    <s v="C199"/>
    <s v="P199"/>
    <s v="Asus Gaming PC"/>
    <x v="3"/>
    <n v="1"/>
    <n v="100264"/>
    <s v="Parth Dubey"/>
    <x v="18"/>
    <x v="12"/>
    <n v="24"/>
    <s v="student"/>
    <s v="Pending"/>
    <s v="EMI "/>
  </r>
  <r>
    <s v="C200"/>
    <s v="P200"/>
    <s v="Lenovo Gaming PC"/>
    <x v="3"/>
    <n v="1"/>
    <n v="116760"/>
    <s v="Aanya Naidu"/>
    <x v="35"/>
    <x v="2"/>
    <n v="23"/>
    <s v="student"/>
    <s v="Pending"/>
    <s v="EMI "/>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ORD1001"/>
    <d v="2025-01-12T00:00:00"/>
    <s v="C001"/>
    <s v="P001"/>
    <n v="4"/>
    <n v="899"/>
    <n v="3596"/>
    <n v="0.1"/>
    <n v="359.6"/>
    <n v="1438.4"/>
    <n v="4674.7999999999993"/>
    <n v="1078.7999999999993"/>
    <s v="Aarav Mehta"/>
    <x v="0"/>
    <x v="0"/>
    <s v="Agartala"/>
    <x v="0"/>
    <x v="0"/>
  </r>
  <r>
    <s v="ORD1002"/>
    <d v="2025-01-12T00:00:00"/>
    <s v="C002"/>
    <s v="P002"/>
    <n v="5"/>
    <n v="649"/>
    <n v="3245"/>
    <n v="0.02"/>
    <n v="64.900000000000006"/>
    <n v="1298"/>
    <n v="4478.1000000000004"/>
    <n v="1233.1000000000004"/>
    <s v="Aditi Patel"/>
    <x v="0"/>
    <x v="0"/>
    <s v="Agra"/>
    <x v="1"/>
    <x v="0"/>
  </r>
  <r>
    <s v="ORD1003"/>
    <d v="2025-01-12T00:00:00"/>
    <s v="C003"/>
    <s v="P003"/>
    <n v="6"/>
    <n v="125"/>
    <n v="750"/>
    <n v="0"/>
    <n v="0"/>
    <n v="300"/>
    <n v="1050"/>
    <n v="300"/>
    <s v="Arjun Khanna"/>
    <x v="0"/>
    <x v="0"/>
    <s v="Ahmedabad"/>
    <x v="2"/>
    <x v="0"/>
  </r>
  <r>
    <s v="ORD1004"/>
    <d v="2025-01-12T00:00:00"/>
    <s v="C004"/>
    <s v="P004"/>
    <n v="7"/>
    <n v="199"/>
    <n v="1393"/>
    <n v="0"/>
    <n v="0"/>
    <n v="557.20000000000005"/>
    <n v="1950.2"/>
    <n v="557.20000000000005"/>
    <s v="Ananya Khanna"/>
    <x v="0"/>
    <x v="0"/>
    <s v="Aizawl"/>
    <x v="2"/>
    <x v="0"/>
  </r>
  <r>
    <s v="ORD1005"/>
    <d v="2025-01-13T00:00:00"/>
    <s v="C005"/>
    <s v="P005"/>
    <n v="2"/>
    <n v="900"/>
    <n v="1800"/>
    <n v="0.15"/>
    <n v="270"/>
    <n v="720"/>
    <n v="2250"/>
    <n v="450"/>
    <s v="Aditya Kulkarni"/>
    <x v="0"/>
    <x v="1"/>
    <s v="Ajmer"/>
    <x v="2"/>
    <x v="0"/>
  </r>
  <r>
    <s v="ORD1006"/>
    <d v="2025-01-13T00:00:00"/>
    <s v="C006"/>
    <s v="P006"/>
    <n v="3"/>
    <n v="1200"/>
    <n v="3600"/>
    <n v="0.15"/>
    <n v="540"/>
    <n v="1440"/>
    <n v="4500"/>
    <n v="900"/>
    <s v="Ishita Yadav"/>
    <x v="0"/>
    <x v="2"/>
    <s v="Aligarh "/>
    <x v="2"/>
    <x v="0"/>
  </r>
  <r>
    <s v="ORD1007"/>
    <d v="2025-01-13T00:00:00"/>
    <s v="C007"/>
    <s v="P007"/>
    <n v="4"/>
    <n v="800"/>
    <n v="3200"/>
    <n v="0.15"/>
    <n v="480"/>
    <n v="1280"/>
    <n v="4000"/>
    <n v="800"/>
    <s v="Kabir Mathur"/>
    <x v="0"/>
    <x v="3"/>
    <s v="Amravati"/>
    <x v="2"/>
    <x v="0"/>
  </r>
  <r>
    <s v="ORD1008"/>
    <d v="2025-01-13T00:00:00"/>
    <s v="C008"/>
    <s v="P008"/>
    <n v="5"/>
    <n v="700"/>
    <n v="3500"/>
    <n v="0.15"/>
    <n v="525"/>
    <n v="1400"/>
    <n v="4375"/>
    <n v="875"/>
    <s v="Meera Gupta"/>
    <x v="0"/>
    <x v="0"/>
    <s v="Amritsar"/>
    <x v="2"/>
    <x v="0"/>
  </r>
  <r>
    <s v="ORD1009"/>
    <d v="2025-01-14T00:00:00"/>
    <s v="C009"/>
    <s v="P009"/>
    <n v="1"/>
    <n v="600"/>
    <n v="600"/>
    <n v="0.15"/>
    <n v="90"/>
    <n v="240"/>
    <n v="750"/>
    <n v="150"/>
    <s v="Rohan Iyer"/>
    <x v="0"/>
    <x v="0"/>
    <s v="Aurangabad"/>
    <x v="2"/>
    <x v="0"/>
  </r>
  <r>
    <s v="ORD1010"/>
    <d v="2025-01-14T00:00:00"/>
    <s v="C010"/>
    <s v="P010"/>
    <n v="3"/>
    <n v="3000"/>
    <n v="9000"/>
    <n v="0.15"/>
    <n v="1350"/>
    <n v="3600"/>
    <n v="11250"/>
    <n v="2250"/>
    <s v="Priya Mishra"/>
    <x v="1"/>
    <x v="4"/>
    <s v="Bangalore"/>
    <x v="2"/>
    <x v="0"/>
  </r>
  <r>
    <s v="ORD1011"/>
    <d v="2025-01-14T00:00:00"/>
    <s v="C011"/>
    <s v="P011"/>
    <n v="5"/>
    <n v="2500"/>
    <n v="12500"/>
    <n v="0.2"/>
    <n v="2500"/>
    <n v="5000"/>
    <n v="15000"/>
    <n v="2500"/>
    <s v="Rahul Pandey"/>
    <x v="1"/>
    <x v="5"/>
    <s v="Bareilly"/>
    <x v="0"/>
    <x v="1"/>
  </r>
  <r>
    <s v="ORD1012"/>
    <d v="2025-01-14T00:00:00"/>
    <s v="C012"/>
    <s v="P012"/>
    <n v="7"/>
    <n v="2300"/>
    <n v="16100"/>
    <n v="0.2"/>
    <n v="3220"/>
    <n v="6440"/>
    <n v="19320"/>
    <n v="3220"/>
    <s v="Sneha Srivastava"/>
    <x v="1"/>
    <x v="6"/>
    <s v="Chandigarh"/>
    <x v="0"/>
    <x v="0"/>
  </r>
  <r>
    <s v="ORD1013"/>
    <d v="2025-01-14T00:00:00"/>
    <s v="C013"/>
    <s v="P013"/>
    <n v="9"/>
    <n v="2100"/>
    <n v="18900"/>
    <n v="0.2"/>
    <n v="3780"/>
    <n v="7560"/>
    <n v="22680"/>
    <n v="3780"/>
    <s v="Vihaan Dutta"/>
    <x v="1"/>
    <x v="6"/>
    <s v="Chennai"/>
    <x v="0"/>
    <x v="1"/>
  </r>
  <r>
    <s v="ORD1014"/>
    <d v="2025-01-14T00:00:00"/>
    <s v="C014"/>
    <s v="P014"/>
    <n v="11"/>
    <n v="1900"/>
    <n v="20900"/>
    <n v="0.2"/>
    <n v="4180"/>
    <n v="8360"/>
    <n v="25080"/>
    <n v="4180"/>
    <s v="Diya Sood"/>
    <x v="1"/>
    <x v="7"/>
    <s v="Coimbatore"/>
    <x v="0"/>
    <x v="1"/>
  </r>
  <r>
    <s v="ORD1015"/>
    <d v="2025-01-14T00:00:00"/>
    <s v="C015"/>
    <s v="P015"/>
    <n v="13"/>
    <n v="250"/>
    <n v="3250"/>
    <n v="0.2"/>
    <n v="650"/>
    <n v="1300"/>
    <n v="3900"/>
    <n v="650"/>
    <s v="Karan Verma"/>
    <x v="0"/>
    <x v="7"/>
    <s v="Dehradun"/>
    <x v="0"/>
    <x v="0"/>
  </r>
  <r>
    <s v="ORD1016"/>
    <d v="2025-01-14T00:00:00"/>
    <s v="C016"/>
    <s v="P016"/>
    <n v="15"/>
    <n v="1300"/>
    <n v="19500"/>
    <n v="0.2"/>
    <n v="3900"/>
    <n v="7800"/>
    <n v="23400"/>
    <n v="3900"/>
    <s v="Neha Agarwal"/>
    <x v="1"/>
    <x v="7"/>
    <s v="Dharamshala"/>
    <x v="0"/>
    <x v="1"/>
  </r>
  <r>
    <s v="ORD1017"/>
    <d v="2025-01-14T00:00:00"/>
    <s v="C017"/>
    <s v="P017"/>
    <n v="17"/>
    <n v="3100"/>
    <n v="52700"/>
    <n v="0.2"/>
    <n v="10540"/>
    <n v="21080"/>
    <n v="63240"/>
    <n v="10540"/>
    <s v="Aryan Saxena"/>
    <x v="2"/>
    <x v="7"/>
    <s v="Faridabad"/>
    <x v="0"/>
    <x v="0"/>
  </r>
  <r>
    <s v="ORD1018"/>
    <d v="2025-01-14T00:00:00"/>
    <s v="C018"/>
    <s v="P018"/>
    <n v="19"/>
    <n v="1200"/>
    <n v="22800"/>
    <n v="0.2"/>
    <n v="4560"/>
    <n v="9120"/>
    <n v="27360"/>
    <n v="4560"/>
    <s v="Kavya Tiwari"/>
    <x v="1"/>
    <x v="8"/>
    <s v="Kanpur"/>
    <x v="0"/>
    <x v="1"/>
  </r>
  <r>
    <s v="ORD1019"/>
    <d v="2025-01-14T00:00:00"/>
    <s v="C019"/>
    <s v="P019"/>
    <n v="21"/>
    <n v="1100"/>
    <n v="23100"/>
    <n v="0.2"/>
    <n v="4620"/>
    <n v="9240"/>
    <n v="27720"/>
    <n v="4620"/>
    <s v="Yash Sinha"/>
    <x v="1"/>
    <x v="9"/>
    <s v="Gurugram"/>
    <x v="0"/>
    <x v="1"/>
  </r>
  <r>
    <s v="ORD1020"/>
    <d v="2025-01-14T00:00:00"/>
    <s v="C020"/>
    <s v="P020"/>
    <n v="5"/>
    <n v="2000"/>
    <n v="10000"/>
    <n v="0.1"/>
    <n v="1000"/>
    <n v="4000"/>
    <n v="13000"/>
    <n v="3000"/>
    <s v="Riya Banerjee"/>
    <x v="1"/>
    <x v="10"/>
    <s v="Kolkata"/>
    <x v="0"/>
    <x v="1"/>
  </r>
  <r>
    <s v="ORD1021"/>
    <d v="2025-01-15T00:00:00"/>
    <s v="C021"/>
    <s v="P021"/>
    <n v="3"/>
    <n v="3000"/>
    <n v="9000"/>
    <n v="0.05"/>
    <n v="450"/>
    <n v="3600"/>
    <n v="12150"/>
    <n v="3150"/>
    <s v="Dev Vohra"/>
    <x v="1"/>
    <x v="11"/>
    <s v="Amravati"/>
    <x v="3"/>
    <x v="0"/>
  </r>
  <r>
    <s v="ORD1022"/>
    <d v="2025-01-15T00:00:00"/>
    <s v="C022"/>
    <s v="P022"/>
    <n v="2"/>
    <n v="200"/>
    <n v="400"/>
    <n v="0"/>
    <n v="0"/>
    <n v="160"/>
    <n v="560"/>
    <n v="160"/>
    <s v="Nisha Sharma"/>
    <x v="0"/>
    <x v="3"/>
    <s v="Rohtak"/>
    <x v="2"/>
    <x v="0"/>
  </r>
  <r>
    <s v="ORD1023"/>
    <d v="2025-01-15T00:00:00"/>
    <s v="C023"/>
    <s v="P023"/>
    <n v="1"/>
    <n v="8000"/>
    <n v="8000"/>
    <n v="0.08"/>
    <n v="640"/>
    <n v="3200"/>
    <n v="10560"/>
    <n v="2560"/>
    <s v="Siddharth Bansal"/>
    <x v="1"/>
    <x v="3"/>
    <s v="Jind"/>
    <x v="0"/>
    <x v="1"/>
  </r>
  <r>
    <s v="ORD1024"/>
    <d v="2025-01-15T00:00:00"/>
    <s v="C024"/>
    <s v="P024"/>
    <n v="4"/>
    <n v="1250"/>
    <n v="5000"/>
    <n v="0.02"/>
    <n v="100"/>
    <n v="2000"/>
    <n v="6900"/>
    <n v="1900"/>
    <s v="Pooja Chopra"/>
    <x v="3"/>
    <x v="3"/>
    <s v="Rohtak"/>
    <x v="2"/>
    <x v="1"/>
  </r>
  <r>
    <s v="ORD1025"/>
    <d v="2025-01-15T00:00:00"/>
    <s v="C025"/>
    <s v="P025"/>
    <n v="2"/>
    <n v="3000"/>
    <n v="6000"/>
    <n v="0.05"/>
    <n v="300"/>
    <n v="2400"/>
    <n v="8100"/>
    <n v="2100"/>
    <s v="Varun Sethi"/>
    <x v="3"/>
    <x v="8"/>
    <s v="Gurugram"/>
    <x v="0"/>
    <x v="1"/>
  </r>
  <r>
    <s v="ORD1026"/>
    <d v="2025-01-16T00:00:00"/>
    <s v="C026"/>
    <s v="P026"/>
    <n v="4"/>
    <n v="4000"/>
    <n v="16000"/>
    <n v="0.1"/>
    <n v="1600"/>
    <n v="6400"/>
    <n v="20800"/>
    <n v="4800"/>
    <s v="Simran Jain"/>
    <x v="1"/>
    <x v="6"/>
    <s v="Faridabad"/>
    <x v="3"/>
    <x v="1"/>
  </r>
  <r>
    <s v="ORD1027"/>
    <d v="2025-01-17T00:00:00"/>
    <s v="C027"/>
    <s v="P027"/>
    <n v="2"/>
    <n v="5000"/>
    <n v="10000"/>
    <n v="0"/>
    <n v="0"/>
    <n v="4000"/>
    <n v="14000"/>
    <n v="4000"/>
    <s v="Aniket Mukherjee"/>
    <x v="1"/>
    <x v="12"/>
    <s v="Gurugram"/>
    <x v="0"/>
    <x v="0"/>
  </r>
  <r>
    <s v="ORD1028"/>
    <d v="2025-01-18T00:00:00"/>
    <s v="C028"/>
    <s v="P028"/>
    <n v="6"/>
    <n v="6000"/>
    <n v="36000"/>
    <n v="0.25"/>
    <n v="9000"/>
    <n v="14400"/>
    <n v="41400"/>
    <n v="5400"/>
    <s v="Tanvi Dubey"/>
    <x v="2"/>
    <x v="4"/>
    <s v="Gurugram"/>
    <x v="4"/>
    <x v="0"/>
  </r>
  <r>
    <s v="ORD1029"/>
    <d v="2025-01-19T00:00:00"/>
    <s v="C029"/>
    <s v="P029"/>
    <n v="3"/>
    <n v="12000"/>
    <n v="36000"/>
    <n v="0.1"/>
    <n v="3600"/>
    <n v="14400"/>
    <n v="46800"/>
    <n v="10800"/>
    <s v="Manav Naidu"/>
    <x v="2"/>
    <x v="13"/>
    <s v="Bangalore"/>
    <x v="3"/>
    <x v="1"/>
  </r>
  <r>
    <s v="ORD1030"/>
    <d v="2025-01-20T00:00:00"/>
    <s v="C030"/>
    <s v="P030"/>
    <n v="2"/>
    <n v="15000"/>
    <n v="30000"/>
    <n v="0.25"/>
    <n v="7500"/>
    <n v="12000"/>
    <n v="34500"/>
    <n v="4500"/>
    <s v="Shreya Malhotra"/>
    <x v="2"/>
    <x v="1"/>
    <s v="Bangalore"/>
    <x v="4"/>
    <x v="1"/>
  </r>
  <r>
    <s v="ORD1031"/>
    <d v="2025-01-21T00:00:00"/>
    <s v="C031"/>
    <s v="P031"/>
    <n v="1"/>
    <n v="31000"/>
    <n v="31000"/>
    <n v="0.25"/>
    <n v="7750"/>
    <n v="12400"/>
    <n v="35650"/>
    <n v="4650"/>
    <s v="Vivaan Joshi"/>
    <x v="2"/>
    <x v="3"/>
    <s v="Delhi"/>
    <x v="4"/>
    <x v="1"/>
  </r>
  <r>
    <s v="ORD1032"/>
    <d v="2025-01-22T00:00:00"/>
    <s v="C032"/>
    <s v="P032"/>
    <n v="7"/>
    <n v="700"/>
    <n v="4900"/>
    <n v="0.05"/>
    <n v="245"/>
    <n v="1960"/>
    <n v="6615"/>
    <n v="1715"/>
    <s v="Avni Chawla"/>
    <x v="3"/>
    <x v="14"/>
    <s v="Delhi"/>
    <x v="2"/>
    <x v="0"/>
  </r>
  <r>
    <s v="ORD1033"/>
    <d v="2025-01-22T00:00:00"/>
    <s v="C033"/>
    <s v="P033"/>
    <n v="8"/>
    <n v="1000"/>
    <n v="8000"/>
    <n v="0.05"/>
    <n v="400"/>
    <n v="3200"/>
    <n v="10800"/>
    <n v="2800"/>
    <s v="Reyansh Goyal"/>
    <x v="1"/>
    <x v="3"/>
    <s v="Delhi"/>
    <x v="0"/>
    <x v="0"/>
  </r>
  <r>
    <s v="ORD1034"/>
    <d v="2025-01-22T00:00:00"/>
    <s v="C034"/>
    <s v="P034"/>
    <n v="9"/>
    <n v="900"/>
    <n v="8100"/>
    <n v="0"/>
    <n v="0"/>
    <n v="3240"/>
    <n v="11340"/>
    <n v="3240"/>
    <s v="Myra Pillai"/>
    <x v="1"/>
    <x v="3"/>
    <s v="Delhi"/>
    <x v="0"/>
    <x v="1"/>
  </r>
  <r>
    <s v="ORD1035"/>
    <d v="2025-01-23T00:00:00"/>
    <s v="C035"/>
    <s v="P035"/>
    <n v="10"/>
    <n v="10000"/>
    <n v="100000"/>
    <n v="0.15"/>
    <n v="15000"/>
    <n v="40000"/>
    <n v="125000"/>
    <n v="25000"/>
    <s v="Krish Tripathi"/>
    <x v="4"/>
    <x v="3"/>
    <s v="Delhi"/>
    <x v="0"/>
    <x v="1"/>
  </r>
  <r>
    <s v="ORD1036"/>
    <d v="2025-01-23T00:00:00"/>
    <s v="C036"/>
    <s v="P036"/>
    <n v="11"/>
    <n v="1200"/>
    <n v="13200"/>
    <n v="0.1"/>
    <n v="1320"/>
    <n v="5280"/>
    <n v="17160"/>
    <n v="3960"/>
    <s v="Kiara Bhatt"/>
    <x v="1"/>
    <x v="11"/>
    <s v="Delhi"/>
    <x v="0"/>
    <x v="1"/>
  </r>
  <r>
    <s v="ORD1037"/>
    <d v="2025-01-23T00:00:00"/>
    <s v="C037"/>
    <s v="P037"/>
    <n v="12"/>
    <n v="2400"/>
    <n v="28800"/>
    <n v="0.12"/>
    <n v="3456"/>
    <n v="11520"/>
    <n v="36864"/>
    <n v="8064"/>
    <s v="Atharv Kapoor"/>
    <x v="2"/>
    <x v="11"/>
    <s v="Delhi"/>
    <x v="0"/>
    <x v="0"/>
  </r>
  <r>
    <s v="ORD1038"/>
    <d v="2025-01-23T00:00:00"/>
    <s v="C038"/>
    <s v="P038"/>
    <n v="13"/>
    <n v="2600"/>
    <n v="33800"/>
    <n v="0.14000000000000001"/>
    <n v="4732"/>
    <n v="13520"/>
    <n v="42588"/>
    <n v="8788"/>
    <s v="Anika Nair"/>
    <x v="2"/>
    <x v="3"/>
    <s v="Delhi"/>
    <x v="0"/>
    <x v="0"/>
  </r>
  <r>
    <s v="ORD1039"/>
    <d v="2025-01-23T00:00:00"/>
    <s v="C039"/>
    <s v="P039"/>
    <n v="14"/>
    <n v="2800"/>
    <n v="39200"/>
    <n v="0.16"/>
    <n v="6272"/>
    <n v="15680"/>
    <n v="48608"/>
    <n v="9408"/>
    <s v="Dhruv Rao"/>
    <x v="2"/>
    <x v="15"/>
    <s v="Delhi"/>
    <x v="0"/>
    <x v="0"/>
  </r>
  <r>
    <s v="ORD1040"/>
    <d v="2025-01-23T00:00:00"/>
    <s v="C040"/>
    <s v="P040"/>
    <n v="11"/>
    <n v="1175"/>
    <n v="12925"/>
    <n v="0.1"/>
    <n v="1292.5"/>
    <n v="5170"/>
    <n v="16802.5"/>
    <n v="3877.5"/>
    <s v="Saanvi Bhatia"/>
    <x v="1"/>
    <x v="7"/>
    <s v="Delhi"/>
    <x v="0"/>
    <x v="0"/>
  </r>
  <r>
    <s v="ORD1041"/>
    <d v="2025-01-24T00:00:00"/>
    <s v="C041"/>
    <s v="P041"/>
    <n v="1"/>
    <n v="45000"/>
    <n v="45000"/>
    <n v="0.25"/>
    <n v="11250"/>
    <n v="18000"/>
    <n v="51750"/>
    <n v="6750"/>
    <s v="Rudra Menon"/>
    <x v="2"/>
    <x v="13"/>
    <s v="Delhi"/>
    <x v="0"/>
    <x v="0"/>
  </r>
  <r>
    <s v="ORD1042"/>
    <d v="2025-01-24T00:00:00"/>
    <s v="C042"/>
    <s v="P042"/>
    <n v="2"/>
    <n v="70000"/>
    <n v="140000"/>
    <n v="0.25"/>
    <n v="35000"/>
    <n v="56000"/>
    <n v="161000"/>
    <n v="21000"/>
    <s v="Navya Shukla"/>
    <x v="5"/>
    <x v="6"/>
    <s v="Gurugram"/>
    <x v="4"/>
    <x v="0"/>
  </r>
  <r>
    <s v="ORD1043"/>
    <d v="2025-01-24T00:00:00"/>
    <s v="C043"/>
    <s v="P043"/>
    <n v="3"/>
    <n v="13000"/>
    <n v="39000"/>
    <n v="0.1"/>
    <n v="3900"/>
    <n v="15600"/>
    <n v="50700"/>
    <n v="11700"/>
    <s v="Ayush Ahuja"/>
    <x v="2"/>
    <x v="6"/>
    <s v="Gurugram"/>
    <x v="5"/>
    <x v="0"/>
  </r>
  <r>
    <s v="ORD1044"/>
    <d v="2025-01-24T00:00:00"/>
    <s v="C044"/>
    <s v="P044"/>
    <n v="14"/>
    <n v="14000"/>
    <n v="196000"/>
    <n v="0.15"/>
    <n v="29400"/>
    <n v="78400"/>
    <n v="245000"/>
    <n v="49000"/>
    <s v="Tanya Singh"/>
    <x v="5"/>
    <x v="3"/>
    <s v="Gurugram"/>
    <x v="0"/>
    <x v="0"/>
  </r>
  <r>
    <s v="ORD1045"/>
    <d v="2025-01-24T00:00:00"/>
    <s v="C045"/>
    <s v="P045"/>
    <n v="10"/>
    <n v="25000"/>
    <n v="250000"/>
    <n v="0.2"/>
    <n v="50000"/>
    <n v="100000"/>
    <n v="300000"/>
    <n v="50000"/>
    <s v="Arnav Reddy"/>
    <x v="5"/>
    <x v="3"/>
    <s v="Gurugram"/>
    <x v="0"/>
    <x v="0"/>
  </r>
  <r>
    <s v="ORD1046"/>
    <d v="2025-01-24T00:00:00"/>
    <s v="C046"/>
    <s v="P046"/>
    <n v="9"/>
    <n v="1500"/>
    <n v="13500"/>
    <n v="0"/>
    <n v="0"/>
    <n v="5400"/>
    <n v="18900"/>
    <n v="5400"/>
    <s v="Ira Das"/>
    <x v="1"/>
    <x v="3"/>
    <s v="Gurugram"/>
    <x v="2"/>
    <x v="0"/>
  </r>
  <r>
    <s v="ORD1047"/>
    <d v="2025-01-24T00:00:00"/>
    <s v="C047"/>
    <s v="P047"/>
    <n v="8"/>
    <n v="1000"/>
    <n v="8000"/>
    <n v="0"/>
    <n v="0"/>
    <n v="3200"/>
    <n v="11200"/>
    <n v="3200"/>
    <s v="Shaurya Arora"/>
    <x v="1"/>
    <x v="3"/>
    <s v="Gurugram"/>
    <x v="2"/>
    <x v="0"/>
  </r>
  <r>
    <s v="ORD1048"/>
    <d v="2025-01-24T00:00:00"/>
    <s v="C048"/>
    <s v="P048"/>
    <n v="7"/>
    <n v="1350"/>
    <n v="9450"/>
    <n v="0"/>
    <n v="0"/>
    <n v="3780"/>
    <n v="13230"/>
    <n v="3780"/>
    <s v="Mahi Desai"/>
    <x v="1"/>
    <x v="4"/>
    <s v="Gurugram"/>
    <x v="2"/>
    <x v="0"/>
  </r>
  <r>
    <s v="ORD1049"/>
    <d v="2025-01-24T00:00:00"/>
    <s v="C049"/>
    <s v="P049"/>
    <n v="5"/>
    <n v="2500"/>
    <n v="12500"/>
    <n v="0"/>
    <n v="0"/>
    <n v="5000"/>
    <n v="17500"/>
    <n v="5000"/>
    <s v="Parth Thakur"/>
    <x v="1"/>
    <x v="0"/>
    <s v="Gurugram"/>
    <x v="2"/>
    <x v="0"/>
  </r>
  <r>
    <s v="ORD1050"/>
    <d v="2025-01-24T00:00:00"/>
    <s v="C050"/>
    <s v="P050"/>
    <n v="4"/>
    <n v="4000"/>
    <n v="16000"/>
    <n v="0"/>
    <n v="0"/>
    <n v="6400"/>
    <n v="22400"/>
    <n v="6400"/>
    <s v="Aanya Kohli"/>
    <x v="1"/>
    <x v="12"/>
    <s v="Gurugram"/>
    <x v="2"/>
    <x v="0"/>
  </r>
  <r>
    <s v="ORD1051"/>
    <d v="2025-01-24T00:00:00"/>
    <s v="C051"/>
    <s v="P051"/>
    <n v="3"/>
    <n v="3000"/>
    <n v="9000"/>
    <n v="0.05"/>
    <n v="450"/>
    <n v="3600"/>
    <n v="12150"/>
    <n v="3150"/>
    <s v="Aarav Singh"/>
    <x v="1"/>
    <x v="6"/>
    <s v="Gurugram"/>
    <x v="0"/>
    <x v="0"/>
  </r>
  <r>
    <s v="ORD1052"/>
    <d v="2025-01-24T00:00:00"/>
    <s v="C052"/>
    <s v="P052"/>
    <n v="2"/>
    <n v="30000"/>
    <n v="60000"/>
    <n v="0.1"/>
    <n v="6000"/>
    <n v="24000"/>
    <n v="78000"/>
    <n v="18000"/>
    <s v="Aditi Reddy"/>
    <x v="2"/>
    <x v="3"/>
    <s v="Gurugram"/>
    <x v="0"/>
    <x v="1"/>
  </r>
  <r>
    <s v="ORD1053"/>
    <d v="2025-01-24T00:00:00"/>
    <s v="C053"/>
    <s v="P053"/>
    <n v="1"/>
    <n v="15000"/>
    <n v="15000"/>
    <n v="7.0000000000000007E-2"/>
    <n v="1050"/>
    <n v="6000"/>
    <n v="19950"/>
    <n v="4950"/>
    <s v="Arjun Das"/>
    <x v="1"/>
    <x v="3"/>
    <s v="Gurugram"/>
    <x v="4"/>
    <x v="1"/>
  </r>
  <r>
    <s v="ORD1054"/>
    <d v="2025-01-24T00:00:00"/>
    <s v="C054"/>
    <s v="P054"/>
    <n v="11"/>
    <n v="800"/>
    <n v="8800"/>
    <n v="0.05"/>
    <n v="440"/>
    <n v="3520"/>
    <n v="11880"/>
    <n v="3080"/>
    <s v="Ananya Arora"/>
    <x v="1"/>
    <x v="3"/>
    <s v="Gurugram"/>
    <x v="0"/>
    <x v="0"/>
  </r>
  <r>
    <s v="ORD1055"/>
    <d v="2025-01-24T00:00:00"/>
    <s v="C055"/>
    <s v="P055"/>
    <n v="12"/>
    <n v="1000"/>
    <n v="12000"/>
    <n v="0.1"/>
    <n v="1200"/>
    <n v="4800"/>
    <n v="15600"/>
    <n v="3600"/>
    <s v="Aditya Desai"/>
    <x v="1"/>
    <x v="3"/>
    <s v="Gurugram"/>
    <x v="0"/>
    <x v="0"/>
  </r>
  <r>
    <s v="ORD1056"/>
    <d v="2025-01-24T00:00:00"/>
    <s v="C056"/>
    <s v="P056"/>
    <n v="12"/>
    <n v="1200"/>
    <n v="14400"/>
    <n v="7.0000000000000007E-2"/>
    <n v="1008.0000000000001"/>
    <n v="5760"/>
    <n v="19152"/>
    <n v="4752"/>
    <s v="Ishita Thakur"/>
    <x v="1"/>
    <x v="3"/>
    <s v="Gurugram"/>
    <x v="4"/>
    <x v="0"/>
  </r>
  <r>
    <s v="ORD1057"/>
    <d v="2025-01-24T00:00:00"/>
    <s v="C057"/>
    <s v="P057"/>
    <n v="13"/>
    <n v="3600"/>
    <n v="46800"/>
    <n v="0.25"/>
    <n v="11700"/>
    <n v="18720"/>
    <n v="53820"/>
    <n v="7020"/>
    <s v="Kabir Kohli"/>
    <x v="2"/>
    <x v="3"/>
    <s v="Gurugram"/>
    <x v="0"/>
    <x v="1"/>
  </r>
  <r>
    <s v="ORD1058"/>
    <d v="2025-01-24T00:00:00"/>
    <s v="C058"/>
    <s v="P058"/>
    <n v="14"/>
    <n v="4500"/>
    <n v="63000"/>
    <n v="0.05"/>
    <n v="3150"/>
    <n v="25200"/>
    <n v="85050"/>
    <n v="22050"/>
    <s v="Meera Mehta"/>
    <x v="2"/>
    <x v="11"/>
    <s v="Gurugram"/>
    <x v="5"/>
    <x v="1"/>
  </r>
  <r>
    <s v="ORD1059"/>
    <d v="2025-01-24T00:00:00"/>
    <s v="C059"/>
    <s v="P059"/>
    <n v="15"/>
    <n v="2500"/>
    <n v="37500"/>
    <n v="0.12"/>
    <n v="4500"/>
    <n v="15000"/>
    <n v="48000"/>
    <n v="10500"/>
    <s v="Rohan Patel"/>
    <x v="2"/>
    <x v="16"/>
    <s v="Gurugram"/>
    <x v="3"/>
    <x v="0"/>
  </r>
  <r>
    <s v="ORD1060"/>
    <d v="2025-01-24T00:00:00"/>
    <s v="C060"/>
    <s v="P060"/>
    <n v="16"/>
    <n v="1525"/>
    <n v="24400"/>
    <n v="0.15"/>
    <n v="3660"/>
    <n v="9760"/>
    <n v="30500"/>
    <n v="6100"/>
    <s v="Priya Khan"/>
    <x v="2"/>
    <x v="7"/>
    <s v="Gurugram"/>
    <x v="3"/>
    <x v="1"/>
  </r>
  <r>
    <s v="ORD1061"/>
    <d v="2025-01-24T00:00:00"/>
    <s v="C061"/>
    <s v="P061"/>
    <n v="1"/>
    <n v="85000"/>
    <n v="85000"/>
    <n v="0.05"/>
    <n v="4250"/>
    <n v="34000"/>
    <n v="114750"/>
    <n v="29750"/>
    <s v="Rahul Khanna"/>
    <x v="4"/>
    <x v="3"/>
    <s v="Gurugram"/>
    <x v="0"/>
    <x v="0"/>
  </r>
  <r>
    <s v="ORD1062"/>
    <d v="2025-01-24T00:00:00"/>
    <s v="C062"/>
    <s v="P062"/>
    <n v="17"/>
    <n v="500"/>
    <n v="8500"/>
    <n v="0.05"/>
    <n v="425"/>
    <n v="3400"/>
    <n v="11475"/>
    <n v="2975"/>
    <s v="Sneha Kulkarni"/>
    <x v="1"/>
    <x v="0"/>
    <s v="Gurugram"/>
    <x v="2"/>
    <x v="1"/>
  </r>
  <r>
    <s v="ORD1063"/>
    <d v="2025-01-24T00:00:00"/>
    <s v="C063"/>
    <s v="P063"/>
    <n v="18"/>
    <n v="800"/>
    <n v="14400"/>
    <n v="0.05"/>
    <n v="720"/>
    <n v="5760"/>
    <n v="19440"/>
    <n v="5040"/>
    <s v="Vihaan Yadav"/>
    <x v="1"/>
    <x v="3"/>
    <s v="Gurugram"/>
    <x v="2"/>
    <x v="1"/>
  </r>
  <r>
    <s v="ORD1064"/>
    <d v="2025-01-24T00:00:00"/>
    <s v="C064"/>
    <s v="P064"/>
    <n v="18"/>
    <n v="1000"/>
    <n v="18000"/>
    <n v="0.05"/>
    <n v="900"/>
    <n v="7200"/>
    <n v="24300"/>
    <n v="6300"/>
    <s v="Diya Mathur"/>
    <x v="1"/>
    <x v="3"/>
    <s v="Gurugram"/>
    <x v="0"/>
    <x v="1"/>
  </r>
  <r>
    <s v="ORD1065"/>
    <d v="2025-01-24T00:00:00"/>
    <s v="C065"/>
    <s v="P065"/>
    <n v="2"/>
    <n v="30000"/>
    <n v="60000"/>
    <n v="0.1"/>
    <n v="6000"/>
    <n v="24000"/>
    <n v="78000"/>
    <n v="18000"/>
    <s v="Karan Gupta"/>
    <x v="2"/>
    <x v="3"/>
    <s v="Gurugram"/>
    <x v="5"/>
    <x v="1"/>
  </r>
  <r>
    <s v="ORD1066"/>
    <d v="2025-01-24T00:00:00"/>
    <s v="C066"/>
    <s v="P066"/>
    <n v="3"/>
    <n v="4000"/>
    <n v="12000"/>
    <n v="0.1"/>
    <n v="1200"/>
    <n v="4800"/>
    <n v="15600"/>
    <n v="3600"/>
    <s v="Neha Iyer"/>
    <x v="1"/>
    <x v="3"/>
    <s v="Kochi"/>
    <x v="0"/>
    <x v="1"/>
  </r>
  <r>
    <s v="ORD1067"/>
    <d v="2025-01-24T00:00:00"/>
    <s v="C067"/>
    <s v="P067"/>
    <n v="4"/>
    <n v="5000"/>
    <n v="20000"/>
    <n v="0.1"/>
    <n v="2000"/>
    <n v="8000"/>
    <n v="26000"/>
    <n v="6000"/>
    <s v="Aryan Mishra"/>
    <x v="1"/>
    <x v="7"/>
    <s v="Coimbatore"/>
    <x v="0"/>
    <x v="1"/>
  </r>
  <r>
    <s v="ORD1068"/>
    <d v="2025-01-24T00:00:00"/>
    <s v="C068"/>
    <s v="P068"/>
    <n v="5"/>
    <n v="6000"/>
    <n v="30000"/>
    <n v="0.1"/>
    <n v="3000"/>
    <n v="12000"/>
    <n v="39000"/>
    <n v="9000"/>
    <s v="Kavya Pandey"/>
    <x v="2"/>
    <x v="6"/>
    <s v="Kanpur"/>
    <x v="0"/>
    <x v="1"/>
  </r>
  <r>
    <s v="ORD1069"/>
    <d v="2025-01-24T00:00:00"/>
    <s v="C069"/>
    <s v="P069"/>
    <n v="6"/>
    <n v="1000"/>
    <n v="6000"/>
    <n v="0.05"/>
    <n v="300"/>
    <n v="2400"/>
    <n v="8100"/>
    <n v="2100"/>
    <s v="Yash Srivastava"/>
    <x v="3"/>
    <x v="6"/>
    <s v="Kanpur"/>
    <x v="2"/>
    <x v="1"/>
  </r>
  <r>
    <s v="ORD1070"/>
    <d v="2025-01-24T00:00:00"/>
    <s v="C070"/>
    <s v="P070"/>
    <n v="7"/>
    <n v="800"/>
    <n v="5600"/>
    <n v="0.05"/>
    <n v="280"/>
    <n v="2240"/>
    <n v="7560"/>
    <n v="1960"/>
    <s v="Riya Dutta"/>
    <x v="3"/>
    <x v="6"/>
    <s v="Lavasa"/>
    <x v="2"/>
    <x v="1"/>
  </r>
  <r>
    <s v="ORD1071"/>
    <d v="2025-01-24T00:00:00"/>
    <s v="C071"/>
    <s v="P071"/>
    <n v="8"/>
    <n v="200"/>
    <n v="1600"/>
    <n v="0"/>
    <n v="0"/>
    <n v="640"/>
    <n v="2240"/>
    <n v="640"/>
    <s v="Dev Sood"/>
    <x v="0"/>
    <x v="0"/>
    <s v="Ludhiana"/>
    <x v="2"/>
    <x v="1"/>
  </r>
  <r>
    <s v="ORD1072"/>
    <d v="2025-01-24T00:00:00"/>
    <s v="C072"/>
    <s v="P072"/>
    <n v="9"/>
    <n v="4590"/>
    <n v="41310"/>
    <n v="0.2"/>
    <n v="8262"/>
    <n v="16524"/>
    <n v="49572"/>
    <n v="8262"/>
    <s v="Nisha Verma"/>
    <x v="2"/>
    <x v="8"/>
    <s v="Ahmedabad"/>
    <x v="2"/>
    <x v="1"/>
  </r>
  <r>
    <s v="ORD1073"/>
    <d v="2025-01-24T00:00:00"/>
    <s v="C073"/>
    <s v="P073"/>
    <n v="10"/>
    <n v="1375"/>
    <n v="13750"/>
    <n v="0"/>
    <n v="0"/>
    <n v="5500"/>
    <n v="19250"/>
    <n v="5500"/>
    <s v="Siddharth Agarwal"/>
    <x v="1"/>
    <x v="0"/>
    <s v="Faridabad"/>
    <x v="2"/>
    <x v="1"/>
  </r>
  <r>
    <s v="ORD1074"/>
    <d v="2025-01-24T00:00:00"/>
    <s v="C074"/>
    <s v="P074"/>
    <n v="1"/>
    <n v="30000"/>
    <n v="30000"/>
    <n v="0.05"/>
    <n v="1500"/>
    <n v="12000"/>
    <n v="40500"/>
    <n v="10500"/>
    <s v="Pooja Saxena"/>
    <x v="2"/>
    <x v="3"/>
    <s v="Noida"/>
    <x v="2"/>
    <x v="1"/>
  </r>
  <r>
    <s v="ORD1075"/>
    <d v="2025-01-24T00:00:00"/>
    <s v="C075"/>
    <s v="P075"/>
    <n v="2"/>
    <n v="14000"/>
    <n v="28000"/>
    <n v="0"/>
    <n v="0"/>
    <n v="11200"/>
    <n v="39200"/>
    <n v="11200"/>
    <s v="Varun Tiwari"/>
    <x v="2"/>
    <x v="3"/>
    <s v="Meerut"/>
    <x v="2"/>
    <x v="1"/>
  </r>
  <r>
    <s v="ORD1076"/>
    <d v="2025-01-24T00:00:00"/>
    <s v="C076"/>
    <s v="P076"/>
    <n v="3"/>
    <n v="1000"/>
    <n v="3000"/>
    <n v="0"/>
    <n v="0"/>
    <n v="1200"/>
    <n v="4200"/>
    <n v="1200"/>
    <s v="Simran Sinha"/>
    <x v="0"/>
    <x v="17"/>
    <s v="Patna"/>
    <x v="2"/>
    <x v="0"/>
  </r>
  <r>
    <s v="ORD1077"/>
    <d v="2025-01-24T00:00:00"/>
    <s v="C077"/>
    <s v="P077"/>
    <n v="4"/>
    <n v="250"/>
    <n v="1000"/>
    <n v="0"/>
    <n v="0"/>
    <n v="400"/>
    <n v="1400"/>
    <n v="400"/>
    <s v="Aniket Banerjee"/>
    <x v="0"/>
    <x v="3"/>
    <s v="Kolkata"/>
    <x v="2"/>
    <x v="0"/>
  </r>
  <r>
    <s v="ORD1078"/>
    <d v="2025-01-24T00:00:00"/>
    <s v="C078"/>
    <s v="P078"/>
    <n v="5"/>
    <n v="175"/>
    <n v="875"/>
    <n v="0"/>
    <n v="0"/>
    <n v="350"/>
    <n v="1225"/>
    <n v="350"/>
    <s v="Tanvi Vohra"/>
    <x v="0"/>
    <x v="7"/>
    <s v="Kolkata"/>
    <x v="1"/>
    <x v="0"/>
  </r>
  <r>
    <s v="ORD1079"/>
    <d v="2025-01-24T00:00:00"/>
    <s v="C079"/>
    <s v="P079"/>
    <n v="6"/>
    <n v="500"/>
    <n v="3000"/>
    <n v="0"/>
    <n v="0"/>
    <n v="1200"/>
    <n v="4200"/>
    <n v="1200"/>
    <s v="Manav Sharma"/>
    <x v="0"/>
    <x v="11"/>
    <s v="Delhi"/>
    <x v="1"/>
    <x v="0"/>
  </r>
  <r>
    <s v="ORD1080"/>
    <d v="2025-01-24T00:00:00"/>
    <s v="C080"/>
    <s v="P080"/>
    <n v="7"/>
    <n v="700"/>
    <n v="4900"/>
    <n v="0"/>
    <n v="0"/>
    <n v="1960"/>
    <n v="6860"/>
    <n v="1960"/>
    <s v="Shreya Bansal"/>
    <x v="3"/>
    <x v="11"/>
    <s v="Amravati"/>
    <x v="1"/>
    <x v="0"/>
  </r>
  <r>
    <s v="ORD1081"/>
    <d v="2025-01-24T00:00:00"/>
    <s v="C081"/>
    <s v="P081"/>
    <n v="8"/>
    <n v="1200"/>
    <n v="9600"/>
    <n v="0"/>
    <n v="0"/>
    <n v="3840"/>
    <n v="13440"/>
    <n v="3840"/>
    <s v="Vivaan Chopra"/>
    <x v="1"/>
    <x v="8"/>
    <s v="Noida"/>
    <x v="1"/>
    <x v="1"/>
  </r>
  <r>
    <s v="ORD1082"/>
    <d v="2025-01-24T00:00:00"/>
    <s v="C082"/>
    <s v="P082"/>
    <n v="9"/>
    <n v="900"/>
    <n v="8100"/>
    <n v="0"/>
    <n v="0"/>
    <n v="3240"/>
    <n v="11340"/>
    <n v="3240"/>
    <s v="Avni Sethi"/>
    <x v="1"/>
    <x v="8"/>
    <s v="Noida"/>
    <x v="1"/>
    <x v="0"/>
  </r>
  <r>
    <s v="ORD1083"/>
    <d v="2025-01-24T00:00:00"/>
    <s v="C083"/>
    <s v="P083"/>
    <n v="1"/>
    <n v="105000"/>
    <n v="105000"/>
    <n v="0.05"/>
    <n v="5250"/>
    <n v="42000"/>
    <n v="141750"/>
    <n v="36750"/>
    <s v="Reyansh Jain"/>
    <x v="5"/>
    <x v="3"/>
    <s v="Gurugram"/>
    <x v="0"/>
    <x v="1"/>
  </r>
  <r>
    <s v="ORD1084"/>
    <d v="2025-01-24T00:00:00"/>
    <s v="C084"/>
    <s v="P084"/>
    <n v="2"/>
    <n v="12500"/>
    <n v="25000"/>
    <n v="0.15"/>
    <n v="3750"/>
    <n v="10000"/>
    <n v="31250"/>
    <n v="6250"/>
    <s v="Myra Mukherjee"/>
    <x v="2"/>
    <x v="12"/>
    <s v="Gurugram"/>
    <x v="0"/>
    <x v="1"/>
  </r>
  <r>
    <s v="ORD1085"/>
    <d v="2025-01-24T00:00:00"/>
    <s v="C085"/>
    <s v="P085"/>
    <n v="3"/>
    <n v="350"/>
    <n v="1050"/>
    <n v="0"/>
    <n v="0"/>
    <n v="420"/>
    <n v="1470"/>
    <n v="420"/>
    <s v="Krish Dubey"/>
    <x v="0"/>
    <x v="18"/>
    <s v="Gurugram"/>
    <x v="1"/>
    <x v="0"/>
  </r>
  <r>
    <s v="ORD1086"/>
    <d v="2025-01-24T00:00:00"/>
    <s v="C086"/>
    <s v="P086"/>
    <n v="4"/>
    <n v="650"/>
    <n v="2600"/>
    <n v="0"/>
    <n v="0"/>
    <n v="1040"/>
    <n v="3640"/>
    <n v="1040"/>
    <s v="Kiara Naidu"/>
    <x v="0"/>
    <x v="18"/>
    <s v="Chennai"/>
    <x v="1"/>
    <x v="0"/>
  </r>
  <r>
    <s v="ORD1087"/>
    <d v="2025-01-24T00:00:00"/>
    <s v="C087"/>
    <s v="P087"/>
    <n v="5"/>
    <n v="1450"/>
    <n v="7250"/>
    <n v="0.1"/>
    <n v="725"/>
    <n v="2900"/>
    <n v="9425"/>
    <n v="2175"/>
    <s v="Atharv Malhotra"/>
    <x v="3"/>
    <x v="19"/>
    <s v="Noida"/>
    <x v="0"/>
    <x v="0"/>
  </r>
  <r>
    <s v="ORD1088"/>
    <d v="2025-01-24T00:00:00"/>
    <s v="C088"/>
    <s v="P088"/>
    <n v="7"/>
    <n v="2500"/>
    <n v="17500"/>
    <n v="0.1"/>
    <n v="1750"/>
    <n v="7000"/>
    <n v="22750"/>
    <n v="5250"/>
    <s v="Anika Joshi"/>
    <x v="1"/>
    <x v="19"/>
    <s v="Mumbai"/>
    <x v="0"/>
    <x v="0"/>
  </r>
  <r>
    <s v="ORD1089"/>
    <d v="2025-01-24T00:00:00"/>
    <s v="C089"/>
    <s v="P089"/>
    <n v="8"/>
    <n v="799"/>
    <n v="6392"/>
    <n v="0"/>
    <n v="0"/>
    <n v="2556.8000000000002"/>
    <n v="8948.7999999999993"/>
    <n v="2556.7999999999993"/>
    <s v="Dhruv Chawla"/>
    <x v="3"/>
    <x v="3"/>
    <s v="Delhi"/>
    <x v="1"/>
    <x v="1"/>
  </r>
  <r>
    <s v="ORD1090"/>
    <d v="2025-01-24T00:00:00"/>
    <s v="C090"/>
    <s v="P090"/>
    <n v="8"/>
    <n v="1200"/>
    <n v="9600"/>
    <n v="0.05"/>
    <n v="480"/>
    <n v="3840"/>
    <n v="12960"/>
    <n v="3360"/>
    <s v="Saanvi Goyal"/>
    <x v="1"/>
    <x v="3"/>
    <s v="Gurugram"/>
    <x v="1"/>
    <x v="1"/>
  </r>
  <r>
    <s v="ORD1091"/>
    <d v="2025-01-24T00:00:00"/>
    <s v="C091"/>
    <s v="P091"/>
    <n v="8"/>
    <n v="3450"/>
    <n v="27600"/>
    <n v="0.1"/>
    <n v="2760"/>
    <n v="11040"/>
    <n v="35880"/>
    <n v="8280"/>
    <s v="Rudra Pillai"/>
    <x v="2"/>
    <x v="3"/>
    <s v="Coimbatore"/>
    <x v="0"/>
    <x v="1"/>
  </r>
  <r>
    <s v="ORD1092"/>
    <d v="2025-01-24T00:00:00"/>
    <s v="C092"/>
    <s v="P092"/>
    <n v="9"/>
    <n v="8100"/>
    <n v="72900"/>
    <n v="0.1"/>
    <n v="7290"/>
    <n v="29160"/>
    <n v="94770"/>
    <n v="21870"/>
    <s v="Navya Tripathi"/>
    <x v="2"/>
    <x v="18"/>
    <s v="Ghaziabad"/>
    <x v="0"/>
    <x v="1"/>
  </r>
  <r>
    <s v="ORD1093"/>
    <d v="2025-01-24T00:00:00"/>
    <s v="C093"/>
    <s v="P093"/>
    <n v="6"/>
    <n v="550"/>
    <n v="3300"/>
    <n v="0"/>
    <n v="0"/>
    <n v="1320"/>
    <n v="4620"/>
    <n v="1320"/>
    <s v="Ayush Bhatt"/>
    <x v="0"/>
    <x v="0"/>
    <s v="Delhi"/>
    <x v="0"/>
    <x v="1"/>
  </r>
  <r>
    <s v="ORD1094"/>
    <d v="2025-01-25T00:00:00"/>
    <s v="C094"/>
    <s v="P094"/>
    <n v="5"/>
    <n v="1200"/>
    <n v="6000"/>
    <n v="0"/>
    <n v="0"/>
    <n v="2400"/>
    <n v="8400"/>
    <n v="2400"/>
    <s v="Tanya Kapoor"/>
    <x v="3"/>
    <x v="3"/>
    <s v="Pune"/>
    <x v="1"/>
    <x v="1"/>
  </r>
  <r>
    <s v="ORD1095"/>
    <d v="2025-01-25T00:00:00"/>
    <s v="C095"/>
    <s v="P095"/>
    <n v="4"/>
    <n v="200"/>
    <n v="800"/>
    <n v="0"/>
    <n v="0"/>
    <n v="320"/>
    <n v="1120"/>
    <n v="320"/>
    <s v="Arnav Nair"/>
    <x v="0"/>
    <x v="0"/>
    <s v="Delhi"/>
    <x v="1"/>
    <x v="1"/>
  </r>
  <r>
    <s v="ORD1096"/>
    <d v="2025-01-25T00:00:00"/>
    <s v="C096"/>
    <s v="P096"/>
    <n v="3"/>
    <n v="550"/>
    <n v="1650"/>
    <n v="0"/>
    <n v="0"/>
    <n v="660"/>
    <n v="2310"/>
    <n v="660"/>
    <s v="Ira Rao"/>
    <x v="0"/>
    <x v="5"/>
    <s v="Jammu"/>
    <x v="1"/>
    <x v="1"/>
  </r>
  <r>
    <s v="ORD1097"/>
    <d v="2025-01-25T00:00:00"/>
    <s v="C097"/>
    <s v="P097"/>
    <n v="3"/>
    <n v="650"/>
    <n v="1950"/>
    <n v="0"/>
    <n v="0"/>
    <n v="780"/>
    <n v="2730"/>
    <n v="780"/>
    <s v="Shaurya Bhatia"/>
    <x v="0"/>
    <x v="3"/>
    <s v="Karnal"/>
    <x v="1"/>
    <x v="1"/>
  </r>
  <r>
    <s v="ORD1098"/>
    <d v="2025-01-25T00:00:00"/>
    <s v="C098"/>
    <s v="P098"/>
    <n v="8"/>
    <n v="3000"/>
    <n v="24000"/>
    <n v="0"/>
    <n v="0"/>
    <n v="9600"/>
    <n v="33600"/>
    <n v="9600"/>
    <s v="Mahi Menon"/>
    <x v="2"/>
    <x v="3"/>
    <s v="Jaipur"/>
    <x v="0"/>
    <x v="1"/>
  </r>
  <r>
    <s v="ORD1099"/>
    <d v="2025-01-25T00:00:00"/>
    <s v="C099"/>
    <s v="P099"/>
    <n v="7"/>
    <n v="700"/>
    <n v="4900"/>
    <n v="0"/>
    <n v="0"/>
    <n v="1960"/>
    <n v="6860"/>
    <n v="1960"/>
    <s v="Parth Shukla"/>
    <x v="3"/>
    <x v="0"/>
    <s v="Jaipur"/>
    <x v="1"/>
    <x v="1"/>
  </r>
  <r>
    <s v="ORD1100"/>
    <d v="2025-01-25T00:00:00"/>
    <s v="C100"/>
    <s v="P100"/>
    <n v="6"/>
    <n v="14500"/>
    <n v="87000"/>
    <n v="0.25"/>
    <n v="21750"/>
    <n v="34800"/>
    <n v="100050"/>
    <n v="13050"/>
    <s v="Aanya Ahuja"/>
    <x v="4"/>
    <x v="3"/>
    <s v="Delhi"/>
    <x v="0"/>
    <x v="1"/>
  </r>
  <r>
    <s v="ORD1101"/>
    <d v="2025-01-25T00:00:00"/>
    <s v="C101"/>
    <s v="P101"/>
    <n v="5"/>
    <n v="12500"/>
    <n v="62500"/>
    <n v="0.2"/>
    <n v="12500"/>
    <n v="25000"/>
    <n v="75000"/>
    <n v="12500"/>
    <s v="Aarav Kapoor"/>
    <x v="2"/>
    <x v="3"/>
    <s v="Delhi"/>
    <x v="0"/>
    <x v="1"/>
  </r>
  <r>
    <s v="ORD1102"/>
    <d v="2025-01-25T00:00:00"/>
    <s v="C102"/>
    <s v="P102"/>
    <n v="4"/>
    <n v="10500"/>
    <n v="42000"/>
    <n v="0.15"/>
    <n v="6300"/>
    <n v="16800"/>
    <n v="52500"/>
    <n v="10500"/>
    <s v="Aditi Nair"/>
    <x v="2"/>
    <x v="3"/>
    <s v="Kochi"/>
    <x v="0"/>
    <x v="1"/>
  </r>
  <r>
    <s v="ORD1103"/>
    <d v="2025-01-25T00:00:00"/>
    <s v="C103"/>
    <s v="P103"/>
    <n v="5"/>
    <n v="25000"/>
    <n v="125000"/>
    <n v="0.15"/>
    <n v="18750"/>
    <n v="50000"/>
    <n v="156250"/>
    <n v="31250"/>
    <s v="Arjun Rao"/>
    <x v="5"/>
    <x v="3"/>
    <s v="pune"/>
    <x v="4"/>
    <x v="1"/>
  </r>
  <r>
    <s v="ORD1104"/>
    <d v="2025-01-25T00:00:00"/>
    <s v="C104"/>
    <s v="P104"/>
    <n v="3"/>
    <n v="12000"/>
    <n v="36000"/>
    <n v="0.1"/>
    <n v="3600"/>
    <n v="14400"/>
    <n v="46800"/>
    <n v="10800"/>
    <s v="Ananya Bhatia"/>
    <x v="2"/>
    <x v="3"/>
    <s v="Delhi"/>
    <x v="5"/>
    <x v="1"/>
  </r>
  <r>
    <s v="ORD1105"/>
    <d v="2025-01-25T00:00:00"/>
    <s v="C105"/>
    <s v="P105"/>
    <n v="2"/>
    <n v="20000"/>
    <n v="40000"/>
    <n v="0.25"/>
    <n v="10000"/>
    <n v="16000"/>
    <n v="46000"/>
    <n v="6000"/>
    <s v="Aditya Menon"/>
    <x v="2"/>
    <x v="3"/>
    <s v="ghaziabad"/>
    <x v="0"/>
    <x v="1"/>
  </r>
  <r>
    <s v="ORD1106"/>
    <d v="2025-01-25T00:00:00"/>
    <s v="C106"/>
    <s v="P106"/>
    <n v="3"/>
    <n v="30000"/>
    <n v="90000"/>
    <n v="0.16"/>
    <n v="14400"/>
    <n v="36000"/>
    <n v="111600"/>
    <n v="21600"/>
    <s v="Ishita Shukla"/>
    <x v="4"/>
    <x v="3"/>
    <s v="Faridabad"/>
    <x v="4"/>
    <x v="1"/>
  </r>
  <r>
    <s v="ORD1107"/>
    <d v="2025-01-25T00:00:00"/>
    <s v="C107"/>
    <s v="P107"/>
    <n v="4"/>
    <n v="40000"/>
    <n v="160000"/>
    <n v="0.05"/>
    <n v="8000"/>
    <n v="64000"/>
    <n v="216000"/>
    <n v="56000"/>
    <s v="Kabir Ahuja"/>
    <x v="5"/>
    <x v="3"/>
    <s v="Gurugram"/>
    <x v="4"/>
    <x v="1"/>
  </r>
  <r>
    <s v="ORD1108"/>
    <d v="2025-01-25T00:00:00"/>
    <s v="C108"/>
    <s v="P108"/>
    <n v="4"/>
    <n v="32000"/>
    <n v="128000"/>
    <n v="0.05"/>
    <n v="6400"/>
    <n v="51200"/>
    <n v="172800"/>
    <n v="44800"/>
    <s v="Meera Singh"/>
    <x v="5"/>
    <x v="3"/>
    <s v="Delhi"/>
    <x v="5"/>
    <x v="1"/>
  </r>
  <r>
    <s v="ORD1109"/>
    <d v="2025-01-25T00:00:00"/>
    <s v="C109"/>
    <s v="P109"/>
    <n v="2"/>
    <n v="70000"/>
    <n v="140000"/>
    <n v="0.05"/>
    <n v="7000"/>
    <n v="56000"/>
    <n v="189000"/>
    <n v="49000"/>
    <s v="Rohan Reddy"/>
    <x v="5"/>
    <x v="3"/>
    <s v="Bangalore"/>
    <x v="5"/>
    <x v="1"/>
  </r>
  <r>
    <s v="ORD1110"/>
    <d v="2025-01-25T00:00:00"/>
    <s v="C110"/>
    <s v="P110"/>
    <n v="11"/>
    <n v="15600"/>
    <n v="171600"/>
    <n v="0.1"/>
    <n v="17160"/>
    <n v="68640"/>
    <n v="223080"/>
    <n v="51480"/>
    <s v="Priya Das"/>
    <x v="5"/>
    <x v="3"/>
    <s v="Kolkata"/>
    <x v="4"/>
    <x v="1"/>
  </r>
  <r>
    <s v="ORD1111"/>
    <d v="2025-01-25T00:00:00"/>
    <s v="C111"/>
    <s v="P111"/>
    <n v="22"/>
    <n v="25000"/>
    <n v="550000"/>
    <n v="0.25"/>
    <n v="137500"/>
    <n v="220000"/>
    <n v="632500"/>
    <n v="82500"/>
    <s v="Rahul Arora"/>
    <x v="5"/>
    <x v="3"/>
    <s v="Gurugram"/>
    <x v="3"/>
    <x v="1"/>
  </r>
  <r>
    <s v="ORD1112"/>
    <d v="2025-01-25T00:00:00"/>
    <s v="C112"/>
    <s v="P112"/>
    <n v="13"/>
    <n v="14000"/>
    <n v="182000"/>
    <n v="0.1"/>
    <n v="18200"/>
    <n v="72800"/>
    <n v="236600"/>
    <n v="54600"/>
    <s v="Sneha Desai"/>
    <x v="5"/>
    <x v="20"/>
    <s v="Ghaziabad"/>
    <x v="3"/>
    <x v="1"/>
  </r>
  <r>
    <s v="ORD1113"/>
    <d v="2025-01-25T00:00:00"/>
    <s v="C113"/>
    <s v="P113"/>
    <n v="15"/>
    <n v="7500"/>
    <n v="112500"/>
    <n v="0.05"/>
    <n v="5625"/>
    <n v="45000"/>
    <n v="151875"/>
    <n v="39375"/>
    <s v="Vihaan Thakur"/>
    <x v="5"/>
    <x v="20"/>
    <s v="Faridabad"/>
    <x v="5"/>
    <x v="1"/>
  </r>
  <r>
    <s v="ORD1114"/>
    <d v="2025-01-25T00:00:00"/>
    <s v="C114"/>
    <s v="P114"/>
    <n v="15"/>
    <n v="4500"/>
    <n v="67500"/>
    <n v="0.1"/>
    <n v="6750"/>
    <n v="27000"/>
    <n v="87750"/>
    <n v="20250"/>
    <s v="Diya Kohli"/>
    <x v="2"/>
    <x v="20"/>
    <s v="Delhi"/>
    <x v="4"/>
    <x v="1"/>
  </r>
  <r>
    <s v="ORD1115"/>
    <d v="2025-01-25T00:00:00"/>
    <s v="C115"/>
    <s v="P115"/>
    <n v="16"/>
    <n v="1450"/>
    <n v="23200"/>
    <n v="0.05"/>
    <n v="1160"/>
    <n v="9280"/>
    <n v="31320"/>
    <n v="8120"/>
    <s v="Karan Mehta"/>
    <x v="2"/>
    <x v="20"/>
    <s v="Surat"/>
    <x v="1"/>
    <x v="1"/>
  </r>
  <r>
    <s v="ORD1116"/>
    <d v="2025-01-25T00:00:00"/>
    <s v="C116"/>
    <s v="P116"/>
    <n v="2"/>
    <n v="12500"/>
    <n v="25000"/>
    <n v="0.15"/>
    <n v="3750"/>
    <n v="10000"/>
    <n v="31250"/>
    <n v="6250"/>
    <s v="Neha Patel"/>
    <x v="2"/>
    <x v="3"/>
    <s v="Surat"/>
    <x v="0"/>
    <x v="1"/>
  </r>
  <r>
    <s v="ORD1117"/>
    <d v="2025-01-25T00:00:00"/>
    <s v="C117"/>
    <s v="P117"/>
    <n v="3"/>
    <n v="3500"/>
    <n v="10500"/>
    <n v="0"/>
    <n v="0"/>
    <n v="4200"/>
    <n v="14700"/>
    <n v="4200"/>
    <s v="Aryan Khan"/>
    <x v="1"/>
    <x v="3"/>
    <s v="Mumbai"/>
    <x v="0"/>
    <x v="1"/>
  </r>
  <r>
    <s v="ORD1118"/>
    <d v="2025-01-25T00:00:00"/>
    <s v="C118"/>
    <s v="P118"/>
    <n v="4"/>
    <n v="124500"/>
    <n v="498000"/>
    <n v="0.15"/>
    <n v="74700"/>
    <n v="199200"/>
    <n v="622500"/>
    <n v="124500"/>
    <s v="Kavya Khanna"/>
    <x v="5"/>
    <x v="3"/>
    <s v="Delhi"/>
    <x v="0"/>
    <x v="0"/>
  </r>
  <r>
    <s v="ORD1119"/>
    <d v="2025-01-25T00:00:00"/>
    <s v="C119"/>
    <s v="P119"/>
    <n v="5"/>
    <n v="15200"/>
    <n v="76000"/>
    <n v="0.05"/>
    <n v="3800"/>
    <n v="30400"/>
    <n v="102600"/>
    <n v="26600"/>
    <s v="Yash Kulkarni"/>
    <x v="4"/>
    <x v="3"/>
    <s v="Karnal"/>
    <x v="1"/>
    <x v="0"/>
  </r>
  <r>
    <s v="ORD1120"/>
    <d v="2025-01-25T00:00:00"/>
    <s v="C120"/>
    <s v="P120"/>
    <n v="6"/>
    <n v="23565"/>
    <n v="141390"/>
    <n v="0.15"/>
    <n v="21208.5"/>
    <n v="56556"/>
    <n v="176737.5"/>
    <n v="35347.5"/>
    <s v="Riya Yadav"/>
    <x v="5"/>
    <x v="3"/>
    <s v="Jind"/>
    <x v="0"/>
    <x v="0"/>
  </r>
  <r>
    <s v="ORD1121"/>
    <d v="2025-01-26T00:00:00"/>
    <s v="C121"/>
    <s v="P121"/>
    <n v="7"/>
    <n v="70000"/>
    <n v="490000"/>
    <n v="0.25"/>
    <n v="122500"/>
    <n v="196000"/>
    <n v="563500"/>
    <n v="73500"/>
    <s v="Dev Mathur"/>
    <x v="5"/>
    <x v="3"/>
    <s v="Rohtak"/>
    <x v="0"/>
    <x v="0"/>
  </r>
  <r>
    <s v="ORD1122"/>
    <d v="2025-01-26T00:00:00"/>
    <s v="C122"/>
    <s v="P122"/>
    <n v="8"/>
    <n v="8000"/>
    <n v="64000"/>
    <n v="0.15"/>
    <n v="9600"/>
    <n v="25600"/>
    <n v="80000"/>
    <n v="16000"/>
    <s v="Nisha Gupta"/>
    <x v="2"/>
    <x v="19"/>
    <s v="Varanasi"/>
    <x v="0"/>
    <x v="0"/>
  </r>
  <r>
    <s v="ORD1123"/>
    <d v="2025-01-26T00:00:00"/>
    <s v="C123"/>
    <s v="P123"/>
    <n v="9"/>
    <n v="11000"/>
    <n v="99000"/>
    <n v="0.25"/>
    <n v="24750"/>
    <n v="39600"/>
    <n v="113850"/>
    <n v="14850"/>
    <s v="Siddharth Iyer"/>
    <x v="4"/>
    <x v="19"/>
    <s v="Vishakhapatnam"/>
    <x v="0"/>
    <x v="0"/>
  </r>
  <r>
    <s v="ORD1124"/>
    <d v="2025-01-26T00:00:00"/>
    <s v="C124"/>
    <s v="P124"/>
    <n v="8"/>
    <n v="14000"/>
    <n v="112000"/>
    <n v="0.15"/>
    <n v="16800"/>
    <n v="44800"/>
    <n v="140000"/>
    <n v="28000"/>
    <s v="Pooja Mishra"/>
    <x v="5"/>
    <x v="19"/>
    <s v="Ayodhya"/>
    <x v="0"/>
    <x v="0"/>
  </r>
  <r>
    <s v="ORD1125"/>
    <d v="2025-01-26T00:00:00"/>
    <s v="C125"/>
    <s v="P125"/>
    <n v="9"/>
    <n v="17000"/>
    <n v="153000"/>
    <n v="0.25"/>
    <n v="38250"/>
    <n v="61200"/>
    <n v="175950"/>
    <n v="22950"/>
    <s v="Varun Pandey"/>
    <x v="5"/>
    <x v="19"/>
    <s v="Ayodhya"/>
    <x v="4"/>
    <x v="0"/>
  </r>
  <r>
    <s v="ORD1126"/>
    <d v="2025-01-26T00:00:00"/>
    <s v="C126"/>
    <s v="P126"/>
    <n v="8"/>
    <n v="20000"/>
    <n v="160000"/>
    <n v="0.15"/>
    <n v="24000"/>
    <n v="64000"/>
    <n v="200000"/>
    <n v="40000"/>
    <s v="Simran Srivastava"/>
    <x v="5"/>
    <x v="21"/>
    <s v="Ghaziabad"/>
    <x v="4"/>
    <x v="0"/>
  </r>
  <r>
    <s v="ORD1127"/>
    <d v="2025-01-26T00:00:00"/>
    <s v="C127"/>
    <s v="P127"/>
    <n v="9"/>
    <n v="23000"/>
    <n v="207000"/>
    <n v="0.25"/>
    <n v="51750"/>
    <n v="82800"/>
    <n v="238050"/>
    <n v="31050"/>
    <s v="Aniket Dutta"/>
    <x v="5"/>
    <x v="19"/>
    <s v="Noida"/>
    <x v="4"/>
    <x v="0"/>
  </r>
  <r>
    <s v="ORD1128"/>
    <d v="2025-01-26T00:00:00"/>
    <s v="C128"/>
    <s v="P128"/>
    <n v="8"/>
    <n v="26000"/>
    <n v="208000"/>
    <n v="0.15"/>
    <n v="31200"/>
    <n v="83200"/>
    <n v="260000"/>
    <n v="52000"/>
    <s v="Tanvi Sood"/>
    <x v="5"/>
    <x v="19"/>
    <s v="Chandigarh"/>
    <x v="4"/>
    <x v="0"/>
  </r>
  <r>
    <s v="ORD1129"/>
    <d v="2025-01-26T00:00:00"/>
    <s v="C129"/>
    <s v="P129"/>
    <n v="9"/>
    <n v="29000"/>
    <n v="261000"/>
    <n v="0.25"/>
    <n v="65250"/>
    <n v="104400"/>
    <n v="300150"/>
    <n v="39150"/>
    <s v="Manav Verma"/>
    <x v="5"/>
    <x v="19"/>
    <s v="Chandigarh"/>
    <x v="4"/>
    <x v="0"/>
  </r>
  <r>
    <s v="ORD1130"/>
    <d v="2025-01-26T00:00:00"/>
    <s v="C130"/>
    <s v="P130"/>
    <n v="9"/>
    <n v="32000"/>
    <n v="288000"/>
    <n v="0.15"/>
    <n v="43200"/>
    <n v="115200"/>
    <n v="360000"/>
    <n v="72000"/>
    <s v="Shreya Agarwal"/>
    <x v="5"/>
    <x v="3"/>
    <s v="Delhi"/>
    <x v="4"/>
    <x v="1"/>
  </r>
  <r>
    <s v="ORD1131"/>
    <d v="2025-01-26T00:00:00"/>
    <s v="C131"/>
    <s v="P131"/>
    <n v="9"/>
    <n v="35000"/>
    <n v="315000"/>
    <n v="0.02"/>
    <n v="6300"/>
    <n v="126000"/>
    <n v="434700"/>
    <n v="119700"/>
    <s v="Vivaan Saxena"/>
    <x v="5"/>
    <x v="19"/>
    <s v="Delhi"/>
    <x v="4"/>
    <x v="1"/>
  </r>
  <r>
    <s v="ORD1132"/>
    <d v="2025-01-26T00:00:00"/>
    <s v="C132"/>
    <s v="P132"/>
    <n v="8"/>
    <n v="38000"/>
    <n v="304000"/>
    <n v="0.02"/>
    <n v="6080"/>
    <n v="121600"/>
    <n v="419520"/>
    <n v="115520"/>
    <s v="Avni Tiwari"/>
    <x v="5"/>
    <x v="8"/>
    <s v="Delhi"/>
    <x v="4"/>
    <x v="1"/>
  </r>
  <r>
    <s v="ORD1133"/>
    <d v="2025-01-26T00:00:00"/>
    <s v="C133"/>
    <s v="P133"/>
    <n v="7"/>
    <n v="41000"/>
    <n v="287000"/>
    <n v="0.2"/>
    <n v="57400"/>
    <n v="114800"/>
    <n v="344400"/>
    <n v="57400"/>
    <s v="Reyansh Sinha"/>
    <x v="5"/>
    <x v="8"/>
    <s v="Delhi"/>
    <x v="4"/>
    <x v="1"/>
  </r>
  <r>
    <s v="ORD1134"/>
    <d v="2025-01-26T00:00:00"/>
    <s v="C134"/>
    <s v="P134"/>
    <n v="2"/>
    <n v="47500"/>
    <n v="95000"/>
    <n v="0.1"/>
    <n v="9500"/>
    <n v="38000"/>
    <n v="123500"/>
    <n v="28500"/>
    <s v="Myra Banerjee"/>
    <x v="4"/>
    <x v="8"/>
    <s v="Kolkata"/>
    <x v="4"/>
    <x v="1"/>
  </r>
  <r>
    <s v="ORD1135"/>
    <d v="2025-01-26T00:00:00"/>
    <s v="C135"/>
    <s v="P135"/>
    <n v="2"/>
    <n v="49000"/>
    <n v="98000"/>
    <n v="0.15"/>
    <n v="14700"/>
    <n v="39200"/>
    <n v="122500"/>
    <n v="24500"/>
    <s v="Krish Vohra"/>
    <x v="4"/>
    <x v="8"/>
    <s v="Mumbai"/>
    <x v="4"/>
    <x v="1"/>
  </r>
  <r>
    <s v="ORD1136"/>
    <d v="2025-01-26T00:00:00"/>
    <s v="C136"/>
    <s v="P136"/>
    <n v="2"/>
    <n v="51500"/>
    <n v="103000"/>
    <n v="0.2"/>
    <n v="20600"/>
    <n v="41200"/>
    <n v="123600"/>
    <n v="20600"/>
    <s v="Kiara Sharma"/>
    <x v="4"/>
    <x v="8"/>
    <s v="Pune"/>
    <x v="0"/>
    <x v="1"/>
  </r>
  <r>
    <s v="ORD1137"/>
    <d v="2025-01-26T00:00:00"/>
    <s v="C137"/>
    <s v="P137"/>
    <n v="1"/>
    <n v="70000"/>
    <n v="70000"/>
    <n v="0.125"/>
    <n v="8750"/>
    <n v="28000"/>
    <n v="89250"/>
    <n v="19250"/>
    <s v="Atharv Bansal"/>
    <x v="2"/>
    <x v="3"/>
    <s v="Chandigarh"/>
    <x v="4"/>
    <x v="1"/>
  </r>
  <r>
    <s v="ORD1138"/>
    <d v="2025-01-26T00:00:00"/>
    <s v="C138"/>
    <s v="P138"/>
    <n v="1"/>
    <n v="81000"/>
    <n v="81000"/>
    <n v="0.2"/>
    <n v="16200"/>
    <n v="32400"/>
    <n v="97200"/>
    <n v="16200"/>
    <s v="Anika Chopra"/>
    <x v="2"/>
    <x v="3"/>
    <s v="Noida"/>
    <x v="4"/>
    <x v="1"/>
  </r>
  <r>
    <s v="ORD1139"/>
    <d v="2025-01-26T00:00:00"/>
    <s v="C139"/>
    <s v="P139"/>
    <n v="2"/>
    <n v="56000"/>
    <n v="112000"/>
    <n v="0.25"/>
    <n v="28000"/>
    <n v="44800"/>
    <n v="128800"/>
    <n v="16800"/>
    <s v="Dhruv Sethi"/>
    <x v="5"/>
    <x v="19"/>
    <s v="Ghaziabad"/>
    <x v="4"/>
    <x v="1"/>
  </r>
  <r>
    <s v="ORD1140"/>
    <d v="2025-01-26T00:00:00"/>
    <s v="C140"/>
    <s v="P140"/>
    <n v="1"/>
    <n v="35000"/>
    <n v="35000"/>
    <n v="0.05"/>
    <n v="1750"/>
    <n v="14000"/>
    <n v="47250"/>
    <n v="12250"/>
    <s v="Saanvi Jain"/>
    <x v="2"/>
    <x v="3"/>
    <s v="Kanpur"/>
    <x v="0"/>
    <x v="1"/>
  </r>
  <r>
    <s v="ORD1141"/>
    <d v="2025-01-26T00:00:00"/>
    <s v="C141"/>
    <s v="P141"/>
    <n v="3"/>
    <n v="24500"/>
    <n v="73500"/>
    <n v="0.12"/>
    <n v="8820"/>
    <n v="29400"/>
    <n v="94080"/>
    <n v="20580"/>
    <s v="Rudra Mukherjee"/>
    <x v="2"/>
    <x v="20"/>
    <s v="Aurangabad"/>
    <x v="4"/>
    <x v="1"/>
  </r>
  <r>
    <s v="ORD1142"/>
    <d v="2025-01-26T00:00:00"/>
    <s v="C142"/>
    <s v="P142"/>
    <n v="1"/>
    <n v="245000"/>
    <n v="245000"/>
    <n v="0.25"/>
    <n v="61250"/>
    <n v="98000"/>
    <n v="281750"/>
    <n v="36750"/>
    <s v="Navya Dubey"/>
    <x v="5"/>
    <x v="3"/>
    <s v="Aligarh "/>
    <x v="4"/>
    <x v="1"/>
  </r>
  <r>
    <s v="ORD1143"/>
    <d v="2025-01-26T00:00:00"/>
    <s v="C143"/>
    <s v="P143"/>
    <n v="2"/>
    <n v="34599"/>
    <n v="69198"/>
    <n v="0.25"/>
    <n v="17299.5"/>
    <n v="27679.200000000001"/>
    <n v="79577.7"/>
    <n v="10379.699999999997"/>
    <s v="Ayush Naidu"/>
    <x v="2"/>
    <x v="3"/>
    <s v="Vizag"/>
    <x v="4"/>
    <x v="1"/>
  </r>
  <r>
    <s v="ORD1144"/>
    <d v="2025-01-26T00:00:00"/>
    <s v="C144"/>
    <s v="P144"/>
    <n v="3"/>
    <n v="45612"/>
    <n v="136836"/>
    <n v="0.2"/>
    <n v="27367.200000000001"/>
    <n v="54734.400000000001"/>
    <n v="164203.19999999998"/>
    <n v="27367.199999999983"/>
    <s v="Tanya Malhotra"/>
    <x v="5"/>
    <x v="3"/>
    <s v="Faridabad"/>
    <x v="0"/>
    <x v="1"/>
  </r>
  <r>
    <s v="ORD1145"/>
    <d v="2025-01-26T00:00:00"/>
    <s v="C145"/>
    <s v="P145"/>
    <n v="4"/>
    <n v="12345"/>
    <n v="49380"/>
    <n v="0.15"/>
    <n v="7407"/>
    <n v="19752"/>
    <n v="61725"/>
    <n v="12345"/>
    <s v="Arnav Joshi"/>
    <x v="2"/>
    <x v="8"/>
    <s v="Kannauj"/>
    <x v="4"/>
    <x v="1"/>
  </r>
  <r>
    <s v="ORD1146"/>
    <d v="2025-01-26T00:00:00"/>
    <s v="C146"/>
    <s v="P146"/>
    <n v="1"/>
    <n v="30000"/>
    <n v="30000"/>
    <n v="0.1"/>
    <n v="3000"/>
    <n v="12000"/>
    <n v="39000"/>
    <n v="9000"/>
    <s v="Ira Chawla"/>
    <x v="2"/>
    <x v="3"/>
    <s v="Rohtak"/>
    <x v="4"/>
    <x v="1"/>
  </r>
  <r>
    <s v="ORD1147"/>
    <d v="2025-01-26T00:00:00"/>
    <s v="C147"/>
    <s v="P147"/>
    <n v="3"/>
    <n v="31000"/>
    <n v="93000"/>
    <n v="0.14000000000000001"/>
    <n v="13020.000000000002"/>
    <n v="37200"/>
    <n v="117180"/>
    <n v="24180"/>
    <s v="Shaurya Goyal"/>
    <x v="4"/>
    <x v="8"/>
    <s v="Sonipat"/>
    <x v="4"/>
    <x v="1"/>
  </r>
  <r>
    <s v="ORD1148"/>
    <d v="2025-01-26T00:00:00"/>
    <s v="C148"/>
    <s v="P148"/>
    <n v="3"/>
    <n v="32000"/>
    <n v="96000"/>
    <n v="0.25"/>
    <n v="24000"/>
    <n v="38400"/>
    <n v="110400"/>
    <n v="14400"/>
    <s v="Mahi Pillai"/>
    <x v="4"/>
    <x v="19"/>
    <s v="Vizag"/>
    <x v="4"/>
    <x v="1"/>
  </r>
  <r>
    <s v="ORD1149"/>
    <d v="2025-01-26T00:00:00"/>
    <s v="C149"/>
    <s v="P149"/>
    <n v="3"/>
    <n v="33000"/>
    <n v="99000"/>
    <n v="0.35"/>
    <n v="34650"/>
    <n v="39600"/>
    <n v="103950"/>
    <n v="4950"/>
    <s v="Parth Tripathi"/>
    <x v="4"/>
    <x v="8"/>
    <s v="Panipat"/>
    <x v="4"/>
    <x v="1"/>
  </r>
  <r>
    <s v="ORD1150"/>
    <d v="2025-01-26T00:00:00"/>
    <s v="C150"/>
    <s v="P150"/>
    <n v="3"/>
    <n v="34000"/>
    <n v="102000"/>
    <n v="0.25"/>
    <n v="25500"/>
    <n v="40800"/>
    <n v="117300"/>
    <n v="15300"/>
    <s v="Aanya Bhatt"/>
    <x v="4"/>
    <x v="8"/>
    <s v="Baghpat"/>
    <x v="4"/>
    <x v="1"/>
  </r>
  <r>
    <s v="ORD1151"/>
    <d v="2025-01-26T00:00:00"/>
    <s v="C151"/>
    <s v="P151"/>
    <n v="4"/>
    <n v="35000"/>
    <n v="140000"/>
    <n v="0.25"/>
    <n v="35000"/>
    <n v="56000"/>
    <n v="161000"/>
    <n v="21000"/>
    <s v="Aarav Malhotra"/>
    <x v="5"/>
    <x v="8"/>
    <s v="ghaziabad"/>
    <x v="0"/>
    <x v="1"/>
  </r>
  <r>
    <s v="ORD1152"/>
    <d v="2025-01-26T00:00:00"/>
    <s v="C152"/>
    <s v="P152"/>
    <n v="4"/>
    <n v="36000"/>
    <n v="144000"/>
    <n v="0.1"/>
    <n v="14400"/>
    <n v="57600"/>
    <n v="187200"/>
    <n v="43200"/>
    <s v="Aditi Joshi"/>
    <x v="5"/>
    <x v="8"/>
    <s v="Delhi"/>
    <x v="0"/>
    <x v="1"/>
  </r>
  <r>
    <s v="ORD1153"/>
    <d v="2025-01-26T00:00:00"/>
    <s v="C153"/>
    <s v="P153"/>
    <n v="4"/>
    <n v="37000"/>
    <n v="148000"/>
    <n v="0.15"/>
    <n v="22200"/>
    <n v="59200"/>
    <n v="185000"/>
    <n v="37000"/>
    <s v="Arjun Chawla"/>
    <x v="5"/>
    <x v="8"/>
    <s v="Mumbai"/>
    <x v="4"/>
    <x v="1"/>
  </r>
  <r>
    <s v="ORD1154"/>
    <d v="2025-01-26T00:00:00"/>
    <s v="C154"/>
    <s v="P154"/>
    <n v="4"/>
    <n v="38000"/>
    <n v="152000"/>
    <n v="0.1"/>
    <n v="15200"/>
    <n v="60800"/>
    <n v="197600"/>
    <n v="45600"/>
    <s v="Ananya Goyal"/>
    <x v="5"/>
    <x v="8"/>
    <s v="Meerut"/>
    <x v="4"/>
    <x v="1"/>
  </r>
  <r>
    <s v="ORD1155"/>
    <d v="2025-01-26T00:00:00"/>
    <s v="C155"/>
    <s v="P155"/>
    <n v="4"/>
    <n v="39000"/>
    <n v="156000"/>
    <n v="0.13"/>
    <n v="20280"/>
    <n v="62400"/>
    <n v="198120"/>
    <n v="42120"/>
    <s v="Aditya Pillai"/>
    <x v="5"/>
    <x v="8"/>
    <s v="Gurugram"/>
    <x v="4"/>
    <x v="1"/>
  </r>
  <r>
    <s v="ORD1156"/>
    <d v="2025-01-26T00:00:00"/>
    <s v="C156"/>
    <s v="P156"/>
    <n v="4"/>
    <n v="40000"/>
    <n v="160000"/>
    <n v="0.14000000000000001"/>
    <n v="22400.000000000004"/>
    <n v="64000"/>
    <n v="201600"/>
    <n v="41600"/>
    <s v="Ishita Dagar"/>
    <x v="5"/>
    <x v="8"/>
    <s v="Rohtak"/>
    <x v="3"/>
    <x v="1"/>
  </r>
  <r>
    <s v="ORD1157"/>
    <d v="2025-01-26T00:00:00"/>
    <s v="C157"/>
    <s v="P157"/>
    <n v="5"/>
    <n v="41000"/>
    <n v="205000"/>
    <n v="0.16"/>
    <n v="32800"/>
    <n v="82000"/>
    <n v="254200"/>
    <n v="49200"/>
    <s v="Kabir Bhatt"/>
    <x v="5"/>
    <x v="8"/>
    <s v="Srinagar"/>
    <x v="4"/>
    <x v="1"/>
  </r>
  <r>
    <s v="ORD1158"/>
    <d v="2025-01-26T00:00:00"/>
    <s v="C158"/>
    <s v="P158"/>
    <n v="5"/>
    <n v="42000"/>
    <n v="210000"/>
    <n v="0.12"/>
    <n v="25200"/>
    <n v="84000"/>
    <n v="268800"/>
    <n v="58800"/>
    <s v="Meera Kapoor"/>
    <x v="5"/>
    <x v="8"/>
    <s v="Srinagar"/>
    <x v="4"/>
    <x v="1"/>
  </r>
  <r>
    <s v="ORD1159"/>
    <d v="2025-01-26T00:00:00"/>
    <s v="C159"/>
    <s v="P159"/>
    <n v="5"/>
    <n v="43000"/>
    <n v="215000"/>
    <n v="0.11"/>
    <n v="23650"/>
    <n v="86000"/>
    <n v="277350"/>
    <n v="62350"/>
    <s v="Rohan Nair"/>
    <x v="5"/>
    <x v="8"/>
    <s v="Vizag"/>
    <x v="0"/>
    <x v="1"/>
  </r>
  <r>
    <s v="ORD1160"/>
    <d v="2025-01-26T00:00:00"/>
    <s v="C160"/>
    <s v="P160"/>
    <n v="5"/>
    <n v="44000"/>
    <n v="220000"/>
    <n v="0.4"/>
    <n v="88000"/>
    <n v="88000"/>
    <n v="220000"/>
    <n v="0"/>
    <s v="Priya Rao"/>
    <x v="5"/>
    <x v="8"/>
    <s v="Faridabad"/>
    <x v="4"/>
    <x v="1"/>
  </r>
  <r>
    <s v="ORD1161"/>
    <d v="2025-01-26T00:00:00"/>
    <s v="C161"/>
    <s v="P161"/>
    <n v="5"/>
    <n v="45000"/>
    <n v="225000"/>
    <n v="0.4"/>
    <n v="90000"/>
    <n v="90000"/>
    <n v="225000"/>
    <n v="0"/>
    <s v="Rahul Bhatia"/>
    <x v="5"/>
    <x v="8"/>
    <s v="Chandigarh"/>
    <x v="0"/>
    <x v="1"/>
  </r>
  <r>
    <s v="ORD1162"/>
    <d v="2025-01-26T00:00:00"/>
    <s v="C162"/>
    <s v="P162"/>
    <n v="5"/>
    <n v="46000"/>
    <n v="230000"/>
    <n v="0.4"/>
    <n v="92000"/>
    <n v="92000"/>
    <n v="230000"/>
    <n v="0"/>
    <s v="Sneha Menon"/>
    <x v="5"/>
    <x v="19"/>
    <s v="Kannauj"/>
    <x v="4"/>
    <x v="1"/>
  </r>
  <r>
    <s v="ORD1163"/>
    <d v="2025-01-26T00:00:00"/>
    <s v="C163"/>
    <s v="P163"/>
    <n v="5"/>
    <n v="47000"/>
    <n v="235000"/>
    <n v="0.2"/>
    <n v="47000"/>
    <n v="94000"/>
    <n v="282000"/>
    <n v="47000"/>
    <s v="Vihaan Shukla"/>
    <x v="5"/>
    <x v="19"/>
    <s v="Faridabad"/>
    <x v="4"/>
    <x v="1"/>
  </r>
  <r>
    <s v="ORD1164"/>
    <d v="2025-01-27T00:00:00"/>
    <s v="C164"/>
    <s v="P164"/>
    <n v="5"/>
    <n v="48000"/>
    <n v="240000"/>
    <n v="4.4999999999999998E-2"/>
    <n v="10800"/>
    <n v="96000"/>
    <n v="325200"/>
    <n v="85200"/>
    <s v="Diya Ahuja"/>
    <x v="5"/>
    <x v="19"/>
    <s v="Chandigarh"/>
    <x v="4"/>
    <x v="1"/>
  </r>
  <r>
    <s v="ORD1165"/>
    <d v="2025-01-27T00:00:00"/>
    <s v="C165"/>
    <s v="P165"/>
    <n v="5"/>
    <n v="49000"/>
    <n v="245000"/>
    <n v="5.5E-2"/>
    <n v="13475"/>
    <n v="98000"/>
    <n v="329525"/>
    <n v="84525"/>
    <s v="Karan Singh"/>
    <x v="5"/>
    <x v="19"/>
    <s v="Gorakhpur"/>
    <x v="4"/>
    <x v="1"/>
  </r>
  <r>
    <s v="ORD1166"/>
    <d v="2025-01-27T00:00:00"/>
    <s v="C166"/>
    <s v="P166"/>
    <n v="5"/>
    <n v="50000"/>
    <n v="250000"/>
    <n v="0.4"/>
    <n v="100000"/>
    <n v="100000"/>
    <n v="250000"/>
    <n v="0"/>
    <s v="Neha Reddy"/>
    <x v="5"/>
    <x v="3"/>
    <s v="Bareilly"/>
    <x v="4"/>
    <x v="1"/>
  </r>
  <r>
    <s v="ORD1167"/>
    <d v="2025-01-27T00:00:00"/>
    <s v="C167"/>
    <s v="P167"/>
    <n v="5"/>
    <n v="51000"/>
    <n v="255000"/>
    <n v="0.1"/>
    <n v="25500"/>
    <n v="102000"/>
    <n v="331500"/>
    <n v="76500"/>
    <s v="Aryan Das"/>
    <x v="5"/>
    <x v="3"/>
    <s v="Kolkata"/>
    <x v="4"/>
    <x v="1"/>
  </r>
  <r>
    <s v="ORD1168"/>
    <d v="2025-01-27T00:00:00"/>
    <s v="C168"/>
    <s v="P168"/>
    <n v="6"/>
    <n v="52000"/>
    <n v="312000"/>
    <n v="0.1"/>
    <n v="31200"/>
    <n v="124800"/>
    <n v="405600"/>
    <n v="93600"/>
    <s v="Kavya Arora"/>
    <x v="5"/>
    <x v="3"/>
    <s v="Gurugram"/>
    <x v="4"/>
    <x v="1"/>
  </r>
  <r>
    <s v="ORD1169"/>
    <d v="2025-01-27T00:00:00"/>
    <s v="C169"/>
    <s v="P169"/>
    <n v="6"/>
    <n v="53000"/>
    <n v="318000"/>
    <n v="0.13"/>
    <n v="41340"/>
    <n v="127200"/>
    <n v="403860"/>
    <n v="85860"/>
    <s v="Yash Desai"/>
    <x v="5"/>
    <x v="3"/>
    <s v="Gorakhpur"/>
    <x v="4"/>
    <x v="1"/>
  </r>
  <r>
    <s v="ORD1170"/>
    <d v="2025-01-27T00:00:00"/>
    <s v="C170"/>
    <s v="P170"/>
    <n v="7"/>
    <n v="54000"/>
    <n v="378000"/>
    <n v="0.08"/>
    <n v="30240"/>
    <n v="151200"/>
    <n v="498960"/>
    <n v="120960"/>
    <s v="Riya Thakur"/>
    <x v="5"/>
    <x v="3"/>
    <s v="Lucknow"/>
    <x v="4"/>
    <x v="1"/>
  </r>
  <r>
    <s v="ORD1171"/>
    <d v="2025-01-27T00:00:00"/>
    <s v="C171"/>
    <s v="P171"/>
    <n v="6"/>
    <n v="55000"/>
    <n v="330000"/>
    <n v="0.04"/>
    <n v="13200"/>
    <n v="132000"/>
    <n v="448800"/>
    <n v="118800"/>
    <s v="Dev Kohli"/>
    <x v="5"/>
    <x v="12"/>
    <s v="Faridabad"/>
    <x v="4"/>
    <x v="1"/>
  </r>
  <r>
    <s v="ORD1172"/>
    <d v="2025-01-27T00:00:00"/>
    <s v="C172"/>
    <s v="P172"/>
    <n v="5"/>
    <n v="56000"/>
    <n v="280000"/>
    <n v="0.05"/>
    <n v="14000"/>
    <n v="112000"/>
    <n v="378000"/>
    <n v="98000"/>
    <s v="Nishant Nagar"/>
    <x v="5"/>
    <x v="10"/>
    <s v="Baghpat"/>
    <x v="4"/>
    <x v="1"/>
  </r>
  <r>
    <s v="ORD1173"/>
    <d v="2025-01-27T00:00:00"/>
    <s v="C173"/>
    <s v="P173"/>
    <n v="4"/>
    <n v="57000"/>
    <n v="228000"/>
    <n v="0.1"/>
    <n v="22800"/>
    <n v="91200"/>
    <n v="296400"/>
    <n v="68400"/>
    <s v="Siddharth Patel"/>
    <x v="5"/>
    <x v="3"/>
    <s v="Surat"/>
    <x v="4"/>
    <x v="1"/>
  </r>
  <r>
    <s v="ORD1174"/>
    <d v="2025-01-27T00:00:00"/>
    <s v="C174"/>
    <s v="P174"/>
    <n v="3"/>
    <n v="58000"/>
    <n v="174000"/>
    <n v="0.12"/>
    <n v="20880"/>
    <n v="69600"/>
    <n v="222720"/>
    <n v="48720"/>
    <s v="Pooja Khanna"/>
    <x v="5"/>
    <x v="19"/>
    <s v="Delhi"/>
    <x v="4"/>
    <x v="1"/>
  </r>
  <r>
    <s v="ORD1175"/>
    <d v="2025-01-28T00:00:00"/>
    <s v="C175"/>
    <s v="P175"/>
    <n v="2"/>
    <n v="59000"/>
    <n v="118000"/>
    <n v="0.13"/>
    <n v="15340"/>
    <n v="47200"/>
    <n v="149860"/>
    <n v="31860"/>
    <s v="Varun Khanna"/>
    <x v="5"/>
    <x v="19"/>
    <s v="Delhi"/>
    <x v="4"/>
    <x v="1"/>
  </r>
  <r>
    <s v="ORD1176"/>
    <d v="2025-01-28T00:00:00"/>
    <s v="C176"/>
    <s v="P176"/>
    <n v="1"/>
    <n v="60000"/>
    <n v="60000"/>
    <n v="0.15"/>
    <n v="9000"/>
    <n v="24000"/>
    <n v="75000"/>
    <n v="15000"/>
    <s v="Simran Kulkarni"/>
    <x v="2"/>
    <x v="3"/>
    <s v="Nashik"/>
    <x v="4"/>
    <x v="1"/>
  </r>
  <r>
    <s v="ORD1177"/>
    <d v="2025-01-28T00:00:00"/>
    <s v="C177"/>
    <s v="P177"/>
    <n v="2"/>
    <n v="61000"/>
    <n v="122000"/>
    <n v="0.2"/>
    <n v="24400"/>
    <n v="48800"/>
    <n v="146400"/>
    <n v="24400"/>
    <s v="Aniket Yadav"/>
    <x v="5"/>
    <x v="8"/>
    <s v="Vadodra"/>
    <x v="4"/>
    <x v="1"/>
  </r>
  <r>
    <s v="ORD1178"/>
    <d v="2025-01-28T00:00:00"/>
    <s v="C178"/>
    <s v="P178"/>
    <n v="1"/>
    <n v="62000"/>
    <n v="62000"/>
    <n v="0.2"/>
    <n v="12400"/>
    <n v="24800"/>
    <n v="74400"/>
    <n v="12400"/>
    <s v="Tanvi Mathur"/>
    <x v="2"/>
    <x v="10"/>
    <s v="Nangloi"/>
    <x v="4"/>
    <x v="1"/>
  </r>
  <r>
    <s v="ORD1179"/>
    <d v="2025-01-28T00:00:00"/>
    <s v="C179"/>
    <s v="P179"/>
    <n v="1"/>
    <n v="63000"/>
    <n v="63000"/>
    <n v="0.1"/>
    <n v="6300"/>
    <n v="25200"/>
    <n v="81900"/>
    <n v="18900"/>
    <s v="Manav Gupta"/>
    <x v="2"/>
    <x v="8"/>
    <s v="Delhi"/>
    <x v="4"/>
    <x v="1"/>
  </r>
  <r>
    <s v="ORD1180"/>
    <d v="2025-01-28T00:00:00"/>
    <s v="C180"/>
    <s v="P180"/>
    <n v="1"/>
    <n v="64000"/>
    <n v="64000"/>
    <n v="0.1"/>
    <n v="6400"/>
    <n v="25600"/>
    <n v="83200"/>
    <n v="19200"/>
    <s v="Shreya Iyer"/>
    <x v="2"/>
    <x v="8"/>
    <s v="Vizag"/>
    <x v="4"/>
    <x v="1"/>
  </r>
  <r>
    <s v="ORD1181"/>
    <d v="2025-01-28T00:00:00"/>
    <s v="C181"/>
    <s v="P181"/>
    <n v="1"/>
    <n v="65000"/>
    <n v="65000"/>
    <n v="0.15"/>
    <n v="9750"/>
    <n v="26000"/>
    <n v="81250"/>
    <n v="16250"/>
    <s v="Vivaan Mishra"/>
    <x v="2"/>
    <x v="8"/>
    <s v="Kannauj"/>
    <x v="4"/>
    <x v="1"/>
  </r>
  <r>
    <s v="ORD1182"/>
    <d v="2025-01-28T00:00:00"/>
    <s v="C182"/>
    <s v="P182"/>
    <n v="1"/>
    <n v="66000"/>
    <n v="66000"/>
    <n v="0.25"/>
    <n v="16500"/>
    <n v="26400"/>
    <n v="75900"/>
    <n v="9900"/>
    <s v="Avni Pandey"/>
    <x v="2"/>
    <x v="8"/>
    <s v="Varanasi"/>
    <x v="0"/>
    <x v="1"/>
  </r>
  <r>
    <s v="ORD1183"/>
    <d v="2025-01-28T00:00:00"/>
    <s v="C183"/>
    <s v="P183"/>
    <n v="1"/>
    <n v="67000"/>
    <n v="67000"/>
    <n v="0.1"/>
    <n v="6700"/>
    <n v="26800"/>
    <n v="87100"/>
    <n v="20100"/>
    <s v="Reyansh Srivastava"/>
    <x v="2"/>
    <x v="8"/>
    <s v="Ayodhya"/>
    <x v="0"/>
    <x v="1"/>
  </r>
  <r>
    <s v="ORD1184"/>
    <d v="2025-01-29T00:00:00"/>
    <s v="C184"/>
    <s v="P184"/>
    <n v="1"/>
    <n v="68000"/>
    <n v="68000"/>
    <n v="0.1"/>
    <n v="6800"/>
    <n v="27200"/>
    <n v="88400"/>
    <n v="20400"/>
    <s v="Myra Dutta"/>
    <x v="2"/>
    <x v="8"/>
    <s v="Gorakhpur"/>
    <x v="0"/>
    <x v="1"/>
  </r>
  <r>
    <s v="ORD1185"/>
    <d v="2025-01-29T00:00:00"/>
    <s v="C185"/>
    <s v="P185"/>
    <n v="1"/>
    <n v="69000"/>
    <n v="69000"/>
    <n v="0.05"/>
    <n v="3450"/>
    <n v="27600"/>
    <n v="93150"/>
    <n v="24150"/>
    <s v="Krish Sood"/>
    <x v="2"/>
    <x v="8"/>
    <s v="Amritsar"/>
    <x v="0"/>
    <x v="1"/>
  </r>
  <r>
    <s v="ORD1186"/>
    <d v="2025-01-29T00:00:00"/>
    <s v="C186"/>
    <s v="P186"/>
    <n v="1"/>
    <n v="70000"/>
    <n v="70000"/>
    <n v="0.1"/>
    <n v="7000"/>
    <n v="28000"/>
    <n v="91000"/>
    <n v="21000"/>
    <s v="Kiara Verma"/>
    <x v="2"/>
    <x v="13"/>
    <s v="Panipat"/>
    <x v="4"/>
    <x v="1"/>
  </r>
  <r>
    <s v="ORD1187"/>
    <d v="2025-01-29T00:00:00"/>
    <s v="C187"/>
    <s v="P187"/>
    <n v="1"/>
    <n v="71000"/>
    <n v="71000"/>
    <n v="0.05"/>
    <n v="3550"/>
    <n v="28400"/>
    <n v="95850"/>
    <n v="24850"/>
    <s v="Atharv Agarwal"/>
    <x v="2"/>
    <x v="12"/>
    <s v="Sonipat"/>
    <x v="4"/>
    <x v="1"/>
  </r>
  <r>
    <s v="ORD1188"/>
    <d v="2025-01-29T00:00:00"/>
    <s v="C188"/>
    <s v="P188"/>
    <n v="1"/>
    <n v="72000"/>
    <n v="72000"/>
    <n v="0.12"/>
    <n v="8640"/>
    <n v="28800"/>
    <n v="92160"/>
    <n v="20160"/>
    <s v="Anika Saxena"/>
    <x v="2"/>
    <x v="3"/>
    <s v="Gurugram"/>
    <x v="4"/>
    <x v="1"/>
  </r>
  <r>
    <s v="ORD1189"/>
    <d v="2025-01-29T00:00:00"/>
    <s v="C189"/>
    <s v="P189"/>
    <n v="1"/>
    <n v="73000"/>
    <n v="73000"/>
    <n v="0.15"/>
    <n v="10950"/>
    <n v="29200"/>
    <n v="91250"/>
    <n v="18250"/>
    <s v="Dhruv Tiwari"/>
    <x v="2"/>
    <x v="3"/>
    <s v="Baghpat"/>
    <x v="4"/>
    <x v="1"/>
  </r>
  <r>
    <s v="ORD1190"/>
    <d v="2025-01-29T00:00:00"/>
    <s v="C190"/>
    <s v="P190"/>
    <n v="1"/>
    <n v="74000"/>
    <n v="74000"/>
    <n v="0.12"/>
    <n v="8880"/>
    <n v="29600"/>
    <n v="94720"/>
    <n v="20720"/>
    <s v="Saanvi Sinha"/>
    <x v="2"/>
    <x v="3"/>
    <s v="Kanpur"/>
    <x v="4"/>
    <x v="1"/>
  </r>
  <r>
    <s v="ORD1191"/>
    <d v="2025-01-30T00:00:00"/>
    <s v="C191"/>
    <s v="P191"/>
    <n v="1"/>
    <n v="75000"/>
    <n v="75000"/>
    <n v="0.15"/>
    <n v="11250"/>
    <n v="30000"/>
    <n v="93750"/>
    <n v="18750"/>
    <s v="Rudra Banerjee"/>
    <x v="2"/>
    <x v="3"/>
    <s v="Kolkata"/>
    <x v="4"/>
    <x v="1"/>
  </r>
  <r>
    <s v="ORD1192"/>
    <d v="2025-01-30T00:00:00"/>
    <s v="C192"/>
    <s v="P192"/>
    <n v="1"/>
    <n v="76000"/>
    <n v="76000"/>
    <n v="0.15"/>
    <n v="11400"/>
    <n v="30400"/>
    <n v="95000"/>
    <n v="19000"/>
    <s v="Navya Vohra"/>
    <x v="2"/>
    <x v="3"/>
    <s v="Hampi"/>
    <x v="4"/>
    <x v="1"/>
  </r>
  <r>
    <s v="ORD1193"/>
    <d v="2025-01-30T00:00:00"/>
    <s v="C193"/>
    <s v="P193"/>
    <n v="1"/>
    <n v="77000"/>
    <n v="77000"/>
    <n v="0.156"/>
    <n v="12012"/>
    <n v="30800"/>
    <n v="95788"/>
    <n v="18788"/>
    <s v="Ayush Sharma"/>
    <x v="2"/>
    <x v="3"/>
    <s v="Gurugram"/>
    <x v="4"/>
    <x v="1"/>
  </r>
  <r>
    <s v="ORD1194"/>
    <d v="2025-01-30T00:00:00"/>
    <s v="C194"/>
    <s v="P194"/>
    <n v="1"/>
    <n v="78000"/>
    <n v="78000"/>
    <n v="0.16200000000000001"/>
    <n v="12636"/>
    <n v="31200"/>
    <n v="96564"/>
    <n v="18564"/>
    <s v="Tanya Bansal"/>
    <x v="2"/>
    <x v="3"/>
    <s v="Noida"/>
    <x v="4"/>
    <x v="1"/>
  </r>
  <r>
    <s v="ORD1195"/>
    <d v="2025-01-30T00:00:00"/>
    <s v="C195"/>
    <s v="P195"/>
    <n v="1"/>
    <n v="79000"/>
    <n v="79000"/>
    <n v="0.16800000000000001"/>
    <n v="13272"/>
    <n v="31600"/>
    <n v="97328"/>
    <n v="18328"/>
    <s v="Arnav Chopra"/>
    <x v="2"/>
    <x v="3"/>
    <s v="Delhi"/>
    <x v="4"/>
    <x v="1"/>
  </r>
  <r>
    <s v="ORD1196"/>
    <d v="2025-01-30T00:00:00"/>
    <s v="C196"/>
    <s v="P196"/>
    <n v="1"/>
    <n v="80000"/>
    <n v="80000"/>
    <n v="0.17399999999999999"/>
    <n v="13919.999999999998"/>
    <n v="32000"/>
    <n v="98080"/>
    <n v="18080"/>
    <s v="Ira Sethi"/>
    <x v="2"/>
    <x v="3"/>
    <s v="Noida"/>
    <x v="0"/>
    <x v="1"/>
  </r>
  <r>
    <s v="ORD1197"/>
    <d v="2025-01-31T00:00:00"/>
    <s v="C197"/>
    <s v="P197"/>
    <n v="1"/>
    <n v="81000"/>
    <n v="81000"/>
    <n v="0.18"/>
    <n v="14580"/>
    <n v="32400"/>
    <n v="98820"/>
    <n v="17820"/>
    <s v="Shaurya Jain"/>
    <x v="2"/>
    <x v="3"/>
    <s v="Delhi"/>
    <x v="4"/>
    <x v="1"/>
  </r>
  <r>
    <s v="ORD1198"/>
    <d v="2025-01-31T00:00:00"/>
    <s v="C198"/>
    <s v="P198"/>
    <n v="1"/>
    <n v="82000"/>
    <n v="82000"/>
    <n v="0.186"/>
    <n v="15252"/>
    <n v="32800"/>
    <n v="99548"/>
    <n v="17548"/>
    <s v="Mahi Mukherjee"/>
    <x v="2"/>
    <x v="3"/>
    <s v="Gurugram"/>
    <x v="4"/>
    <x v="1"/>
  </r>
  <r>
    <s v="ORD1199"/>
    <d v="2025-01-31T00:00:00"/>
    <s v="C199"/>
    <s v="P199"/>
    <n v="1"/>
    <n v="83000"/>
    <n v="83000"/>
    <n v="0.192"/>
    <n v="15936"/>
    <n v="33200"/>
    <n v="100264"/>
    <n v="17264"/>
    <s v="Parth Dubey"/>
    <x v="4"/>
    <x v="3"/>
    <s v="Gurugram"/>
    <x v="4"/>
    <x v="1"/>
  </r>
  <r>
    <s v="ORD1200"/>
    <d v="2025-01-31T00:00:00"/>
    <s v="C200"/>
    <s v="P200"/>
    <n v="1"/>
    <n v="84000"/>
    <n v="84000"/>
    <n v="0.01"/>
    <n v="840"/>
    <n v="33600"/>
    <n v="116760"/>
    <n v="32760"/>
    <s v="Aanya Naidu"/>
    <x v="4"/>
    <x v="3"/>
    <s v="Surat"/>
    <x v="4"/>
    <x v="1"/>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ORD1001"/>
    <d v="2025-01-12T00:00:00"/>
    <s v="C001"/>
    <s v="P001"/>
    <n v="4"/>
    <n v="899"/>
    <n v="3596"/>
    <n v="0.1"/>
    <n v="359.6"/>
    <n v="1438.4"/>
    <n v="4674.7999999999993"/>
    <n v="1078.7999999999993"/>
    <s v="Aarav Mehta"/>
    <x v="0"/>
    <x v="0"/>
    <s v="Agartala"/>
    <s v="Credit Card"/>
    <x v="0"/>
  </r>
  <r>
    <s v="ORD1002"/>
    <d v="2025-01-12T00:00:00"/>
    <s v="C002"/>
    <s v="P002"/>
    <n v="5"/>
    <n v="649"/>
    <n v="3245"/>
    <n v="0.02"/>
    <n v="64.900000000000006"/>
    <n v="1298"/>
    <n v="4478.1000000000004"/>
    <n v="1233.1000000000004"/>
    <s v="Aditi Patel"/>
    <x v="0"/>
    <x v="0"/>
    <s v="Agra"/>
    <s v="UPI"/>
    <x v="0"/>
  </r>
  <r>
    <s v="ORD1003"/>
    <d v="2025-01-12T00:00:00"/>
    <s v="C003"/>
    <s v="P003"/>
    <n v="6"/>
    <n v="125"/>
    <n v="750"/>
    <n v="0"/>
    <n v="0"/>
    <n v="300"/>
    <n v="1050"/>
    <n v="300"/>
    <s v="Arjun Khanna"/>
    <x v="0"/>
    <x v="0"/>
    <s v="Ahmedabad"/>
    <s v="Cash on delivery"/>
    <x v="0"/>
  </r>
  <r>
    <s v="ORD1004"/>
    <d v="2025-01-12T00:00:00"/>
    <s v="C004"/>
    <s v="P004"/>
    <n v="7"/>
    <n v="199"/>
    <n v="1393"/>
    <n v="0"/>
    <n v="0"/>
    <n v="557.20000000000005"/>
    <n v="1950.2"/>
    <n v="557.20000000000005"/>
    <s v="Ananya Khanna"/>
    <x v="0"/>
    <x v="0"/>
    <s v="Aizawl"/>
    <s v="Cash on delivery"/>
    <x v="0"/>
  </r>
  <r>
    <s v="ORD1005"/>
    <d v="2025-01-13T00:00:00"/>
    <s v="C005"/>
    <s v="P005"/>
    <n v="2"/>
    <n v="900"/>
    <n v="1800"/>
    <n v="0.15"/>
    <n v="270"/>
    <n v="720"/>
    <n v="2250"/>
    <n v="450"/>
    <s v="Aditya Kulkarni"/>
    <x v="0"/>
    <x v="1"/>
    <s v="Ajmer"/>
    <s v="Cash on delivery"/>
    <x v="0"/>
  </r>
  <r>
    <s v="ORD1006"/>
    <d v="2025-01-13T00:00:00"/>
    <s v="C006"/>
    <s v="P006"/>
    <n v="3"/>
    <n v="1200"/>
    <n v="3600"/>
    <n v="0.15"/>
    <n v="540"/>
    <n v="1440"/>
    <n v="4500"/>
    <n v="900"/>
    <s v="Ishita Yadav"/>
    <x v="0"/>
    <x v="2"/>
    <s v="Aligarh "/>
    <s v="Cash on delivery"/>
    <x v="0"/>
  </r>
  <r>
    <s v="ORD1007"/>
    <d v="2025-01-13T00:00:00"/>
    <s v="C007"/>
    <s v="P007"/>
    <n v="4"/>
    <n v="800"/>
    <n v="3200"/>
    <n v="0.15"/>
    <n v="480"/>
    <n v="1280"/>
    <n v="4000"/>
    <n v="800"/>
    <s v="Kabir Mathur"/>
    <x v="0"/>
    <x v="3"/>
    <s v="Amravati"/>
    <s v="Cash on delivery"/>
    <x v="0"/>
  </r>
  <r>
    <s v="ORD1008"/>
    <d v="2025-01-13T00:00:00"/>
    <s v="C008"/>
    <s v="P008"/>
    <n v="5"/>
    <n v="700"/>
    <n v="3500"/>
    <n v="0.15"/>
    <n v="525"/>
    <n v="1400"/>
    <n v="4375"/>
    <n v="875"/>
    <s v="Meera Gupta"/>
    <x v="0"/>
    <x v="0"/>
    <s v="Amritsar"/>
    <s v="Cash on delivery"/>
    <x v="0"/>
  </r>
  <r>
    <s v="ORD1009"/>
    <d v="2025-01-14T00:00:00"/>
    <s v="C009"/>
    <s v="P009"/>
    <n v="1"/>
    <n v="600"/>
    <n v="600"/>
    <n v="0.15"/>
    <n v="90"/>
    <n v="240"/>
    <n v="750"/>
    <n v="150"/>
    <s v="Rohan Iyer"/>
    <x v="0"/>
    <x v="0"/>
    <s v="Aurangabad"/>
    <s v="Cash on delivery"/>
    <x v="0"/>
  </r>
  <r>
    <s v="ORD1010"/>
    <d v="2025-01-14T00:00:00"/>
    <s v="C010"/>
    <s v="P010"/>
    <n v="3"/>
    <n v="3000"/>
    <n v="9000"/>
    <n v="0.15"/>
    <n v="1350"/>
    <n v="3600"/>
    <n v="11250"/>
    <n v="2250"/>
    <s v="Priya Mishra"/>
    <x v="1"/>
    <x v="4"/>
    <s v="Bangalore"/>
    <s v="Cash on delivery"/>
    <x v="0"/>
  </r>
  <r>
    <s v="ORD1011"/>
    <d v="2025-01-14T00:00:00"/>
    <s v="C011"/>
    <s v="P011"/>
    <n v="5"/>
    <n v="2500"/>
    <n v="12500"/>
    <n v="0.2"/>
    <n v="2500"/>
    <n v="5000"/>
    <n v="15000"/>
    <n v="2500"/>
    <s v="Rahul Pandey"/>
    <x v="1"/>
    <x v="5"/>
    <s v="Bareilly"/>
    <s v="Credit Card"/>
    <x v="1"/>
  </r>
  <r>
    <s v="ORD1012"/>
    <d v="2025-01-14T00:00:00"/>
    <s v="C012"/>
    <s v="P012"/>
    <n v="7"/>
    <n v="2300"/>
    <n v="16100"/>
    <n v="0.2"/>
    <n v="3220"/>
    <n v="6440"/>
    <n v="19320"/>
    <n v="3220"/>
    <s v="Sneha Srivastava"/>
    <x v="1"/>
    <x v="6"/>
    <s v="Chandigarh"/>
    <s v="Credit Card"/>
    <x v="0"/>
  </r>
  <r>
    <s v="ORD1013"/>
    <d v="2025-01-14T00:00:00"/>
    <s v="C013"/>
    <s v="P013"/>
    <n v="9"/>
    <n v="2100"/>
    <n v="18900"/>
    <n v="0.2"/>
    <n v="3780"/>
    <n v="7560"/>
    <n v="22680"/>
    <n v="3780"/>
    <s v="Vihaan Dutta"/>
    <x v="1"/>
    <x v="6"/>
    <s v="Chennai"/>
    <s v="Credit Card"/>
    <x v="1"/>
  </r>
  <r>
    <s v="ORD1014"/>
    <d v="2025-01-14T00:00:00"/>
    <s v="C014"/>
    <s v="P014"/>
    <n v="11"/>
    <n v="1900"/>
    <n v="20900"/>
    <n v="0.2"/>
    <n v="4180"/>
    <n v="8360"/>
    <n v="25080"/>
    <n v="4180"/>
    <s v="Diya Sood"/>
    <x v="1"/>
    <x v="7"/>
    <s v="Coimbatore"/>
    <s v="Credit Card"/>
    <x v="1"/>
  </r>
  <r>
    <s v="ORD1015"/>
    <d v="2025-01-14T00:00:00"/>
    <s v="C015"/>
    <s v="P015"/>
    <n v="13"/>
    <n v="250"/>
    <n v="3250"/>
    <n v="0.2"/>
    <n v="650"/>
    <n v="1300"/>
    <n v="3900"/>
    <n v="650"/>
    <s v="Karan Verma"/>
    <x v="0"/>
    <x v="7"/>
    <s v="Dehradun"/>
    <s v="Credit Card"/>
    <x v="0"/>
  </r>
  <r>
    <s v="ORD1016"/>
    <d v="2025-01-14T00:00:00"/>
    <s v="C016"/>
    <s v="P016"/>
    <n v="15"/>
    <n v="1300"/>
    <n v="19500"/>
    <n v="0.2"/>
    <n v="3900"/>
    <n v="7800"/>
    <n v="23400"/>
    <n v="3900"/>
    <s v="Neha Agarwal"/>
    <x v="1"/>
    <x v="7"/>
    <s v="Dharamshala"/>
    <s v="Credit Card"/>
    <x v="1"/>
  </r>
  <r>
    <s v="ORD1017"/>
    <d v="2025-01-14T00:00:00"/>
    <s v="C017"/>
    <s v="P017"/>
    <n v="17"/>
    <n v="3100"/>
    <n v="52700"/>
    <n v="0.2"/>
    <n v="10540"/>
    <n v="21080"/>
    <n v="63240"/>
    <n v="10540"/>
    <s v="Aryan Saxena"/>
    <x v="2"/>
    <x v="7"/>
    <s v="Faridabad"/>
    <s v="Credit Card"/>
    <x v="0"/>
  </r>
  <r>
    <s v="ORD1018"/>
    <d v="2025-01-14T00:00:00"/>
    <s v="C018"/>
    <s v="P018"/>
    <n v="19"/>
    <n v="1200"/>
    <n v="22800"/>
    <n v="0.2"/>
    <n v="4560"/>
    <n v="9120"/>
    <n v="27360"/>
    <n v="4560"/>
    <s v="Kavya Tiwari"/>
    <x v="1"/>
    <x v="8"/>
    <s v="Kanpur"/>
    <s v="Credit Card"/>
    <x v="1"/>
  </r>
  <r>
    <s v="ORD1019"/>
    <d v="2025-01-14T00:00:00"/>
    <s v="C019"/>
    <s v="P019"/>
    <n v="21"/>
    <n v="1100"/>
    <n v="23100"/>
    <n v="0.2"/>
    <n v="4620"/>
    <n v="9240"/>
    <n v="27720"/>
    <n v="4620"/>
    <s v="Yash Sinha"/>
    <x v="1"/>
    <x v="9"/>
    <s v="Gurugram"/>
    <s v="Credit Card"/>
    <x v="1"/>
  </r>
  <r>
    <s v="ORD1020"/>
    <d v="2025-01-14T00:00:00"/>
    <s v="C020"/>
    <s v="P020"/>
    <n v="5"/>
    <n v="2000"/>
    <n v="10000"/>
    <n v="0.1"/>
    <n v="1000"/>
    <n v="4000"/>
    <n v="13000"/>
    <n v="3000"/>
    <s v="Riya Banerjee"/>
    <x v="1"/>
    <x v="10"/>
    <s v="Kolkata"/>
    <s v="Credit Card"/>
    <x v="1"/>
  </r>
  <r>
    <s v="ORD1021"/>
    <d v="2025-01-15T00:00:00"/>
    <s v="C021"/>
    <s v="P021"/>
    <n v="3"/>
    <n v="3000"/>
    <n v="9000"/>
    <n v="0.05"/>
    <n v="450"/>
    <n v="3600"/>
    <n v="12150"/>
    <n v="3150"/>
    <s v="Dev Vohra"/>
    <x v="1"/>
    <x v="11"/>
    <s v="Amravati"/>
    <s v="Buy Now Pay later"/>
    <x v="0"/>
  </r>
  <r>
    <s v="ORD1022"/>
    <d v="2025-01-15T00:00:00"/>
    <s v="C022"/>
    <s v="P022"/>
    <n v="2"/>
    <n v="200"/>
    <n v="400"/>
    <n v="0"/>
    <n v="0"/>
    <n v="160"/>
    <n v="560"/>
    <n v="160"/>
    <s v="Nisha Sharma"/>
    <x v="0"/>
    <x v="3"/>
    <s v="Rohtak"/>
    <s v="Cash on delivery"/>
    <x v="0"/>
  </r>
  <r>
    <s v="ORD1023"/>
    <d v="2025-01-15T00:00:00"/>
    <s v="C023"/>
    <s v="P023"/>
    <n v="1"/>
    <n v="8000"/>
    <n v="8000"/>
    <n v="0.08"/>
    <n v="640"/>
    <n v="3200"/>
    <n v="10560"/>
    <n v="2560"/>
    <s v="Siddharth Bansal"/>
    <x v="1"/>
    <x v="3"/>
    <s v="Jind"/>
    <s v="Credit Card"/>
    <x v="1"/>
  </r>
  <r>
    <s v="ORD1024"/>
    <d v="2025-01-15T00:00:00"/>
    <s v="C024"/>
    <s v="P024"/>
    <n v="4"/>
    <n v="1250"/>
    <n v="5000"/>
    <n v="0.02"/>
    <n v="100"/>
    <n v="2000"/>
    <n v="6900"/>
    <n v="1900"/>
    <s v="Pooja Chopra"/>
    <x v="3"/>
    <x v="3"/>
    <s v="Rohtak"/>
    <s v="Cash on delivery"/>
    <x v="1"/>
  </r>
  <r>
    <s v="ORD1025"/>
    <d v="2025-01-15T00:00:00"/>
    <s v="C025"/>
    <s v="P025"/>
    <n v="2"/>
    <n v="3000"/>
    <n v="6000"/>
    <n v="0.05"/>
    <n v="300"/>
    <n v="2400"/>
    <n v="8100"/>
    <n v="2100"/>
    <s v="Varun Sethi"/>
    <x v="3"/>
    <x v="8"/>
    <s v="Gurugram"/>
    <s v="Credit Card"/>
    <x v="1"/>
  </r>
  <r>
    <s v="ORD1026"/>
    <d v="2025-01-16T00:00:00"/>
    <s v="C026"/>
    <s v="P026"/>
    <n v="4"/>
    <n v="4000"/>
    <n v="16000"/>
    <n v="0.1"/>
    <n v="1600"/>
    <n v="6400"/>
    <n v="20800"/>
    <n v="4800"/>
    <s v="Simran Jain"/>
    <x v="1"/>
    <x v="6"/>
    <s v="Faridabad"/>
    <s v="Buy Now Pay later"/>
    <x v="1"/>
  </r>
  <r>
    <s v="ORD1027"/>
    <d v="2025-01-17T00:00:00"/>
    <s v="C027"/>
    <s v="P027"/>
    <n v="2"/>
    <n v="5000"/>
    <n v="10000"/>
    <n v="0"/>
    <n v="0"/>
    <n v="4000"/>
    <n v="14000"/>
    <n v="4000"/>
    <s v="Aniket Mukherjee"/>
    <x v="1"/>
    <x v="12"/>
    <s v="Gurugram"/>
    <s v="Credit Card"/>
    <x v="0"/>
  </r>
  <r>
    <s v="ORD1028"/>
    <d v="2025-01-18T00:00:00"/>
    <s v="C028"/>
    <s v="P028"/>
    <n v="6"/>
    <n v="6000"/>
    <n v="36000"/>
    <n v="0.25"/>
    <n v="9000"/>
    <n v="14400"/>
    <n v="41400"/>
    <n v="5400"/>
    <s v="Tanvi Dubey"/>
    <x v="2"/>
    <x v="4"/>
    <s v="Gurugram"/>
    <s v="EMI "/>
    <x v="0"/>
  </r>
  <r>
    <s v="ORD1029"/>
    <d v="2025-01-19T00:00:00"/>
    <s v="C029"/>
    <s v="P029"/>
    <n v="3"/>
    <n v="12000"/>
    <n v="36000"/>
    <n v="0.1"/>
    <n v="3600"/>
    <n v="14400"/>
    <n v="46800"/>
    <n v="10800"/>
    <s v="Manav Naidu"/>
    <x v="2"/>
    <x v="13"/>
    <s v="Bangalore"/>
    <s v="Buy Now Pay later"/>
    <x v="1"/>
  </r>
  <r>
    <s v="ORD1030"/>
    <d v="2025-01-20T00:00:00"/>
    <s v="C030"/>
    <s v="P030"/>
    <n v="2"/>
    <n v="15000"/>
    <n v="30000"/>
    <n v="0.25"/>
    <n v="7500"/>
    <n v="12000"/>
    <n v="34500"/>
    <n v="4500"/>
    <s v="Shreya Malhotra"/>
    <x v="2"/>
    <x v="1"/>
    <s v="Bangalore"/>
    <s v="EMI "/>
    <x v="1"/>
  </r>
  <r>
    <s v="ORD1031"/>
    <d v="2025-01-21T00:00:00"/>
    <s v="C031"/>
    <s v="P031"/>
    <n v="1"/>
    <n v="31000"/>
    <n v="31000"/>
    <n v="0.25"/>
    <n v="7750"/>
    <n v="12400"/>
    <n v="35650"/>
    <n v="4650"/>
    <s v="Vivaan Joshi"/>
    <x v="2"/>
    <x v="3"/>
    <s v="Delhi"/>
    <s v="EMI "/>
    <x v="1"/>
  </r>
  <r>
    <s v="ORD1032"/>
    <d v="2025-01-22T00:00:00"/>
    <s v="C032"/>
    <s v="P032"/>
    <n v="7"/>
    <n v="700"/>
    <n v="4900"/>
    <n v="0.05"/>
    <n v="245"/>
    <n v="1960"/>
    <n v="6615"/>
    <n v="1715"/>
    <s v="Avni Chawla"/>
    <x v="3"/>
    <x v="14"/>
    <s v="Delhi"/>
    <s v="Cash on delivery"/>
    <x v="0"/>
  </r>
  <r>
    <s v="ORD1033"/>
    <d v="2025-01-22T00:00:00"/>
    <s v="C033"/>
    <s v="P033"/>
    <n v="8"/>
    <n v="1000"/>
    <n v="8000"/>
    <n v="0.05"/>
    <n v="400"/>
    <n v="3200"/>
    <n v="10800"/>
    <n v="2800"/>
    <s v="Reyansh Goyal"/>
    <x v="1"/>
    <x v="3"/>
    <s v="Delhi"/>
    <s v="Credit Card"/>
    <x v="0"/>
  </r>
  <r>
    <s v="ORD1034"/>
    <d v="2025-01-22T00:00:00"/>
    <s v="C034"/>
    <s v="P034"/>
    <n v="9"/>
    <n v="900"/>
    <n v="8100"/>
    <n v="0"/>
    <n v="0"/>
    <n v="3240"/>
    <n v="11340"/>
    <n v="3240"/>
    <s v="Myra Pillai"/>
    <x v="1"/>
    <x v="3"/>
    <s v="Delhi"/>
    <s v="Credit Card"/>
    <x v="1"/>
  </r>
  <r>
    <s v="ORD1035"/>
    <d v="2025-01-23T00:00:00"/>
    <s v="C035"/>
    <s v="P035"/>
    <n v="10"/>
    <n v="10000"/>
    <n v="100000"/>
    <n v="0.15"/>
    <n v="15000"/>
    <n v="40000"/>
    <n v="125000"/>
    <n v="25000"/>
    <s v="Krish Tripathi"/>
    <x v="4"/>
    <x v="3"/>
    <s v="Delhi"/>
    <s v="Credit Card"/>
    <x v="1"/>
  </r>
  <r>
    <s v="ORD1036"/>
    <d v="2025-01-23T00:00:00"/>
    <s v="C036"/>
    <s v="P036"/>
    <n v="11"/>
    <n v="1200"/>
    <n v="13200"/>
    <n v="0.1"/>
    <n v="1320"/>
    <n v="5280"/>
    <n v="17160"/>
    <n v="3960"/>
    <s v="Kiara Bhatt"/>
    <x v="1"/>
    <x v="11"/>
    <s v="Delhi"/>
    <s v="Credit Card"/>
    <x v="1"/>
  </r>
  <r>
    <s v="ORD1037"/>
    <d v="2025-01-23T00:00:00"/>
    <s v="C037"/>
    <s v="P037"/>
    <n v="12"/>
    <n v="2400"/>
    <n v="28800"/>
    <n v="0.12"/>
    <n v="3456"/>
    <n v="11520"/>
    <n v="36864"/>
    <n v="8064"/>
    <s v="Atharv Kapoor"/>
    <x v="2"/>
    <x v="11"/>
    <s v="Delhi"/>
    <s v="Credit Card"/>
    <x v="0"/>
  </r>
  <r>
    <s v="ORD1038"/>
    <d v="2025-01-23T00:00:00"/>
    <s v="C038"/>
    <s v="P038"/>
    <n v="13"/>
    <n v="2600"/>
    <n v="33800"/>
    <n v="0.14000000000000001"/>
    <n v="4732"/>
    <n v="13520"/>
    <n v="42588"/>
    <n v="8788"/>
    <s v="Anika Nair"/>
    <x v="2"/>
    <x v="3"/>
    <s v="Delhi"/>
    <s v="Credit Card"/>
    <x v="0"/>
  </r>
  <r>
    <s v="ORD1039"/>
    <d v="2025-01-23T00:00:00"/>
    <s v="C039"/>
    <s v="P039"/>
    <n v="14"/>
    <n v="2800"/>
    <n v="39200"/>
    <n v="0.16"/>
    <n v="6272"/>
    <n v="15680"/>
    <n v="48608"/>
    <n v="9408"/>
    <s v="Dhruv Rao"/>
    <x v="2"/>
    <x v="15"/>
    <s v="Delhi"/>
    <s v="Credit Card"/>
    <x v="0"/>
  </r>
  <r>
    <s v="ORD1040"/>
    <d v="2025-01-23T00:00:00"/>
    <s v="C040"/>
    <s v="P040"/>
    <n v="11"/>
    <n v="1175"/>
    <n v="12925"/>
    <n v="0.1"/>
    <n v="1292.5"/>
    <n v="5170"/>
    <n v="16802.5"/>
    <n v="3877.5"/>
    <s v="Saanvi Bhatia"/>
    <x v="1"/>
    <x v="7"/>
    <s v="Delhi"/>
    <s v="Credit Card"/>
    <x v="0"/>
  </r>
  <r>
    <s v="ORD1041"/>
    <d v="2025-01-24T00:00:00"/>
    <s v="C041"/>
    <s v="P041"/>
    <n v="1"/>
    <n v="45000"/>
    <n v="45000"/>
    <n v="0.25"/>
    <n v="11250"/>
    <n v="18000"/>
    <n v="51750"/>
    <n v="6750"/>
    <s v="Rudra Menon"/>
    <x v="2"/>
    <x v="13"/>
    <s v="Delhi"/>
    <s v="Credit Card"/>
    <x v="0"/>
  </r>
  <r>
    <s v="ORD1042"/>
    <d v="2025-01-24T00:00:00"/>
    <s v="C042"/>
    <s v="P042"/>
    <n v="2"/>
    <n v="70000"/>
    <n v="140000"/>
    <n v="0.25"/>
    <n v="35000"/>
    <n v="56000"/>
    <n v="161000"/>
    <n v="21000"/>
    <s v="Navya Shukla"/>
    <x v="5"/>
    <x v="6"/>
    <s v="Gurugram"/>
    <s v="EMI "/>
    <x v="0"/>
  </r>
  <r>
    <s v="ORD1043"/>
    <d v="2025-01-24T00:00:00"/>
    <s v="C043"/>
    <s v="P043"/>
    <n v="3"/>
    <n v="13000"/>
    <n v="39000"/>
    <n v="0.1"/>
    <n v="3900"/>
    <n v="15600"/>
    <n v="50700"/>
    <n v="11700"/>
    <s v="Ayush Ahuja"/>
    <x v="2"/>
    <x v="6"/>
    <s v="Gurugram"/>
    <s v="No Cost EMI"/>
    <x v="0"/>
  </r>
  <r>
    <s v="ORD1044"/>
    <d v="2025-01-24T00:00:00"/>
    <s v="C044"/>
    <s v="P044"/>
    <n v="14"/>
    <n v="14000"/>
    <n v="196000"/>
    <n v="0.15"/>
    <n v="29400"/>
    <n v="78400"/>
    <n v="245000"/>
    <n v="49000"/>
    <s v="Tanya Singh"/>
    <x v="5"/>
    <x v="3"/>
    <s v="Gurugram"/>
    <s v="Credit Card"/>
    <x v="0"/>
  </r>
  <r>
    <s v="ORD1045"/>
    <d v="2025-01-24T00:00:00"/>
    <s v="C045"/>
    <s v="P045"/>
    <n v="10"/>
    <n v="25000"/>
    <n v="250000"/>
    <n v="0.2"/>
    <n v="50000"/>
    <n v="100000"/>
    <n v="300000"/>
    <n v="50000"/>
    <s v="Arnav Reddy"/>
    <x v="5"/>
    <x v="3"/>
    <s v="Gurugram"/>
    <s v="Credit Card"/>
    <x v="0"/>
  </r>
  <r>
    <s v="ORD1046"/>
    <d v="2025-01-24T00:00:00"/>
    <s v="C046"/>
    <s v="P046"/>
    <n v="9"/>
    <n v="1500"/>
    <n v="13500"/>
    <n v="0"/>
    <n v="0"/>
    <n v="5400"/>
    <n v="18900"/>
    <n v="5400"/>
    <s v="Ira Das"/>
    <x v="1"/>
    <x v="3"/>
    <s v="Gurugram"/>
    <s v="Cash on delivery"/>
    <x v="0"/>
  </r>
  <r>
    <s v="ORD1047"/>
    <d v="2025-01-24T00:00:00"/>
    <s v="C047"/>
    <s v="P047"/>
    <n v="8"/>
    <n v="1000"/>
    <n v="8000"/>
    <n v="0"/>
    <n v="0"/>
    <n v="3200"/>
    <n v="11200"/>
    <n v="3200"/>
    <s v="Shaurya Arora"/>
    <x v="1"/>
    <x v="3"/>
    <s v="Gurugram"/>
    <s v="Cash on delivery"/>
    <x v="0"/>
  </r>
  <r>
    <s v="ORD1048"/>
    <d v="2025-01-24T00:00:00"/>
    <s v="C048"/>
    <s v="P048"/>
    <n v="7"/>
    <n v="1350"/>
    <n v="9450"/>
    <n v="0"/>
    <n v="0"/>
    <n v="3780"/>
    <n v="13230"/>
    <n v="3780"/>
    <s v="Mahi Desai"/>
    <x v="1"/>
    <x v="4"/>
    <s v="Gurugram"/>
    <s v="Cash on delivery"/>
    <x v="0"/>
  </r>
  <r>
    <s v="ORD1049"/>
    <d v="2025-01-24T00:00:00"/>
    <s v="C049"/>
    <s v="P049"/>
    <n v="5"/>
    <n v="2500"/>
    <n v="12500"/>
    <n v="0"/>
    <n v="0"/>
    <n v="5000"/>
    <n v="17500"/>
    <n v="5000"/>
    <s v="Parth Thakur"/>
    <x v="1"/>
    <x v="0"/>
    <s v="Gurugram"/>
    <s v="Cash on delivery"/>
    <x v="0"/>
  </r>
  <r>
    <s v="ORD1050"/>
    <d v="2025-01-24T00:00:00"/>
    <s v="C050"/>
    <s v="P050"/>
    <n v="4"/>
    <n v="4000"/>
    <n v="16000"/>
    <n v="0"/>
    <n v="0"/>
    <n v="6400"/>
    <n v="22400"/>
    <n v="6400"/>
    <s v="Aanya Kohli"/>
    <x v="1"/>
    <x v="12"/>
    <s v="Gurugram"/>
    <s v="Cash on delivery"/>
    <x v="0"/>
  </r>
  <r>
    <s v="ORD1051"/>
    <d v="2025-01-24T00:00:00"/>
    <s v="C051"/>
    <s v="P051"/>
    <n v="3"/>
    <n v="3000"/>
    <n v="9000"/>
    <n v="0.05"/>
    <n v="450"/>
    <n v="3600"/>
    <n v="12150"/>
    <n v="3150"/>
    <s v="Aarav Singh"/>
    <x v="1"/>
    <x v="6"/>
    <s v="Gurugram"/>
    <s v="Credit Card"/>
    <x v="0"/>
  </r>
  <r>
    <s v="ORD1052"/>
    <d v="2025-01-24T00:00:00"/>
    <s v="C052"/>
    <s v="P052"/>
    <n v="2"/>
    <n v="30000"/>
    <n v="60000"/>
    <n v="0.1"/>
    <n v="6000"/>
    <n v="24000"/>
    <n v="78000"/>
    <n v="18000"/>
    <s v="Aditi Reddy"/>
    <x v="2"/>
    <x v="3"/>
    <s v="Gurugram"/>
    <s v="Credit Card"/>
    <x v="1"/>
  </r>
  <r>
    <s v="ORD1053"/>
    <d v="2025-01-24T00:00:00"/>
    <s v="C053"/>
    <s v="P053"/>
    <n v="1"/>
    <n v="15000"/>
    <n v="15000"/>
    <n v="7.0000000000000007E-2"/>
    <n v="1050"/>
    <n v="6000"/>
    <n v="19950"/>
    <n v="4950"/>
    <s v="Arjun Das"/>
    <x v="1"/>
    <x v="3"/>
    <s v="Gurugram"/>
    <s v="EMI "/>
    <x v="1"/>
  </r>
  <r>
    <s v="ORD1054"/>
    <d v="2025-01-24T00:00:00"/>
    <s v="C054"/>
    <s v="P054"/>
    <n v="11"/>
    <n v="800"/>
    <n v="8800"/>
    <n v="0.05"/>
    <n v="440"/>
    <n v="3520"/>
    <n v="11880"/>
    <n v="3080"/>
    <s v="Ananya Arora"/>
    <x v="1"/>
    <x v="3"/>
    <s v="Gurugram"/>
    <s v="Credit Card"/>
    <x v="0"/>
  </r>
  <r>
    <s v="ORD1055"/>
    <d v="2025-01-24T00:00:00"/>
    <s v="C055"/>
    <s v="P055"/>
    <n v="12"/>
    <n v="1000"/>
    <n v="12000"/>
    <n v="0.1"/>
    <n v="1200"/>
    <n v="4800"/>
    <n v="15600"/>
    <n v="3600"/>
    <s v="Aditya Desai"/>
    <x v="1"/>
    <x v="3"/>
    <s v="Gurugram"/>
    <s v="Credit Card"/>
    <x v="0"/>
  </r>
  <r>
    <s v="ORD1056"/>
    <d v="2025-01-24T00:00:00"/>
    <s v="C056"/>
    <s v="P056"/>
    <n v="12"/>
    <n v="1200"/>
    <n v="14400"/>
    <n v="7.0000000000000007E-2"/>
    <n v="1008.0000000000001"/>
    <n v="5760"/>
    <n v="19152"/>
    <n v="4752"/>
    <s v="Ishita Thakur"/>
    <x v="1"/>
    <x v="3"/>
    <s v="Gurugram"/>
    <s v="EMI "/>
    <x v="0"/>
  </r>
  <r>
    <s v="ORD1057"/>
    <d v="2025-01-24T00:00:00"/>
    <s v="C057"/>
    <s v="P057"/>
    <n v="13"/>
    <n v="3600"/>
    <n v="46800"/>
    <n v="0.25"/>
    <n v="11700"/>
    <n v="18720"/>
    <n v="53820"/>
    <n v="7020"/>
    <s v="Kabir Kohli"/>
    <x v="2"/>
    <x v="3"/>
    <s v="Gurugram"/>
    <s v="Credit Card"/>
    <x v="1"/>
  </r>
  <r>
    <s v="ORD1058"/>
    <d v="2025-01-24T00:00:00"/>
    <s v="C058"/>
    <s v="P058"/>
    <n v="14"/>
    <n v="4500"/>
    <n v="63000"/>
    <n v="0.05"/>
    <n v="3150"/>
    <n v="25200"/>
    <n v="85050"/>
    <n v="22050"/>
    <s v="Meera Mehta"/>
    <x v="2"/>
    <x v="11"/>
    <s v="Gurugram"/>
    <s v="No Cost EMI"/>
    <x v="1"/>
  </r>
  <r>
    <s v="ORD1059"/>
    <d v="2025-01-24T00:00:00"/>
    <s v="C059"/>
    <s v="P059"/>
    <n v="15"/>
    <n v="2500"/>
    <n v="37500"/>
    <n v="0.12"/>
    <n v="4500"/>
    <n v="15000"/>
    <n v="48000"/>
    <n v="10500"/>
    <s v="Rohan Patel"/>
    <x v="2"/>
    <x v="16"/>
    <s v="Gurugram"/>
    <s v="Buy Now Pay later"/>
    <x v="0"/>
  </r>
  <r>
    <s v="ORD1060"/>
    <d v="2025-01-24T00:00:00"/>
    <s v="C060"/>
    <s v="P060"/>
    <n v="16"/>
    <n v="1525"/>
    <n v="24400"/>
    <n v="0.15"/>
    <n v="3660"/>
    <n v="9760"/>
    <n v="30500"/>
    <n v="6100"/>
    <s v="Priya Khan"/>
    <x v="2"/>
    <x v="7"/>
    <s v="Gurugram"/>
    <s v="Buy Now Pay later"/>
    <x v="1"/>
  </r>
  <r>
    <s v="ORD1061"/>
    <d v="2025-01-24T00:00:00"/>
    <s v="C061"/>
    <s v="P061"/>
    <n v="1"/>
    <n v="85000"/>
    <n v="85000"/>
    <n v="0.05"/>
    <n v="4250"/>
    <n v="34000"/>
    <n v="114750"/>
    <n v="29750"/>
    <s v="Rahul Khanna"/>
    <x v="4"/>
    <x v="3"/>
    <s v="Gurugram"/>
    <s v="Credit Card"/>
    <x v="0"/>
  </r>
  <r>
    <s v="ORD1062"/>
    <d v="2025-01-24T00:00:00"/>
    <s v="C062"/>
    <s v="P062"/>
    <n v="17"/>
    <n v="500"/>
    <n v="8500"/>
    <n v="0.05"/>
    <n v="425"/>
    <n v="3400"/>
    <n v="11475"/>
    <n v="2975"/>
    <s v="Sneha Kulkarni"/>
    <x v="1"/>
    <x v="0"/>
    <s v="Gurugram"/>
    <s v="Cash on delivery"/>
    <x v="1"/>
  </r>
  <r>
    <s v="ORD1063"/>
    <d v="2025-01-24T00:00:00"/>
    <s v="C063"/>
    <s v="P063"/>
    <n v="18"/>
    <n v="800"/>
    <n v="14400"/>
    <n v="0.05"/>
    <n v="720"/>
    <n v="5760"/>
    <n v="19440"/>
    <n v="5040"/>
    <s v="Vihaan Yadav"/>
    <x v="1"/>
    <x v="3"/>
    <s v="Gurugram"/>
    <s v="Cash on delivery"/>
    <x v="1"/>
  </r>
  <r>
    <s v="ORD1064"/>
    <d v="2025-01-24T00:00:00"/>
    <s v="C064"/>
    <s v="P064"/>
    <n v="18"/>
    <n v="1000"/>
    <n v="18000"/>
    <n v="0.05"/>
    <n v="900"/>
    <n v="7200"/>
    <n v="24300"/>
    <n v="6300"/>
    <s v="Diya Mathur"/>
    <x v="1"/>
    <x v="3"/>
    <s v="Gurugram"/>
    <s v="Credit Card"/>
    <x v="1"/>
  </r>
  <r>
    <s v="ORD1065"/>
    <d v="2025-01-24T00:00:00"/>
    <s v="C065"/>
    <s v="P065"/>
    <n v="2"/>
    <n v="30000"/>
    <n v="60000"/>
    <n v="0.1"/>
    <n v="6000"/>
    <n v="24000"/>
    <n v="78000"/>
    <n v="18000"/>
    <s v="Karan Gupta"/>
    <x v="2"/>
    <x v="3"/>
    <s v="Gurugram"/>
    <s v="No Cost EMI"/>
    <x v="1"/>
  </r>
  <r>
    <s v="ORD1066"/>
    <d v="2025-01-24T00:00:00"/>
    <s v="C066"/>
    <s v="P066"/>
    <n v="3"/>
    <n v="4000"/>
    <n v="12000"/>
    <n v="0.1"/>
    <n v="1200"/>
    <n v="4800"/>
    <n v="15600"/>
    <n v="3600"/>
    <s v="Neha Iyer"/>
    <x v="1"/>
    <x v="3"/>
    <s v="Kochi"/>
    <s v="Credit Card"/>
    <x v="1"/>
  </r>
  <r>
    <s v="ORD1067"/>
    <d v="2025-01-24T00:00:00"/>
    <s v="C067"/>
    <s v="P067"/>
    <n v="4"/>
    <n v="5000"/>
    <n v="20000"/>
    <n v="0.1"/>
    <n v="2000"/>
    <n v="8000"/>
    <n v="26000"/>
    <n v="6000"/>
    <s v="Aryan Mishra"/>
    <x v="1"/>
    <x v="7"/>
    <s v="Coimbatore"/>
    <s v="Credit Card"/>
    <x v="1"/>
  </r>
  <r>
    <s v="ORD1068"/>
    <d v="2025-01-24T00:00:00"/>
    <s v="C068"/>
    <s v="P068"/>
    <n v="5"/>
    <n v="6000"/>
    <n v="30000"/>
    <n v="0.1"/>
    <n v="3000"/>
    <n v="12000"/>
    <n v="39000"/>
    <n v="9000"/>
    <s v="Kavya Pandey"/>
    <x v="2"/>
    <x v="6"/>
    <s v="Kanpur"/>
    <s v="Credit Card"/>
    <x v="1"/>
  </r>
  <r>
    <s v="ORD1069"/>
    <d v="2025-01-24T00:00:00"/>
    <s v="C069"/>
    <s v="P069"/>
    <n v="6"/>
    <n v="1000"/>
    <n v="6000"/>
    <n v="0.05"/>
    <n v="300"/>
    <n v="2400"/>
    <n v="8100"/>
    <n v="2100"/>
    <s v="Yash Srivastava"/>
    <x v="3"/>
    <x v="6"/>
    <s v="Kanpur"/>
    <s v="Cash on delivery"/>
    <x v="1"/>
  </r>
  <r>
    <s v="ORD1070"/>
    <d v="2025-01-24T00:00:00"/>
    <s v="C070"/>
    <s v="P070"/>
    <n v="7"/>
    <n v="800"/>
    <n v="5600"/>
    <n v="0.05"/>
    <n v="280"/>
    <n v="2240"/>
    <n v="7560"/>
    <n v="1960"/>
    <s v="Riya Dutta"/>
    <x v="3"/>
    <x v="6"/>
    <s v="Lavasa"/>
    <s v="Cash on delivery"/>
    <x v="1"/>
  </r>
  <r>
    <s v="ORD1071"/>
    <d v="2025-01-24T00:00:00"/>
    <s v="C071"/>
    <s v="P071"/>
    <n v="8"/>
    <n v="200"/>
    <n v="1600"/>
    <n v="0"/>
    <n v="0"/>
    <n v="640"/>
    <n v="2240"/>
    <n v="640"/>
    <s v="Dev Sood"/>
    <x v="0"/>
    <x v="0"/>
    <s v="Ludhiana"/>
    <s v="Cash on delivery"/>
    <x v="1"/>
  </r>
  <r>
    <s v="ORD1072"/>
    <d v="2025-01-24T00:00:00"/>
    <s v="C072"/>
    <s v="P072"/>
    <n v="9"/>
    <n v="4590"/>
    <n v="41310"/>
    <n v="0.2"/>
    <n v="8262"/>
    <n v="16524"/>
    <n v="49572"/>
    <n v="8262"/>
    <s v="Nisha Verma"/>
    <x v="2"/>
    <x v="8"/>
    <s v="Ahmedabad"/>
    <s v="Cash on delivery"/>
    <x v="1"/>
  </r>
  <r>
    <s v="ORD1073"/>
    <d v="2025-01-24T00:00:00"/>
    <s v="C073"/>
    <s v="P073"/>
    <n v="10"/>
    <n v="1375"/>
    <n v="13750"/>
    <n v="0"/>
    <n v="0"/>
    <n v="5500"/>
    <n v="19250"/>
    <n v="5500"/>
    <s v="Siddharth Agarwal"/>
    <x v="1"/>
    <x v="0"/>
    <s v="Faridabad"/>
    <s v="Cash on delivery"/>
    <x v="1"/>
  </r>
  <r>
    <s v="ORD1074"/>
    <d v="2025-01-24T00:00:00"/>
    <s v="C074"/>
    <s v="P074"/>
    <n v="1"/>
    <n v="30000"/>
    <n v="30000"/>
    <n v="0.05"/>
    <n v="1500"/>
    <n v="12000"/>
    <n v="40500"/>
    <n v="10500"/>
    <s v="Pooja Saxena"/>
    <x v="2"/>
    <x v="3"/>
    <s v="Noida"/>
    <s v="Cash on delivery"/>
    <x v="1"/>
  </r>
  <r>
    <s v="ORD1075"/>
    <d v="2025-01-24T00:00:00"/>
    <s v="C075"/>
    <s v="P075"/>
    <n v="2"/>
    <n v="14000"/>
    <n v="28000"/>
    <n v="0"/>
    <n v="0"/>
    <n v="11200"/>
    <n v="39200"/>
    <n v="11200"/>
    <s v="Varun Tiwari"/>
    <x v="2"/>
    <x v="3"/>
    <s v="Meerut"/>
    <s v="Cash on delivery"/>
    <x v="1"/>
  </r>
  <r>
    <s v="ORD1076"/>
    <d v="2025-01-24T00:00:00"/>
    <s v="C076"/>
    <s v="P076"/>
    <n v="3"/>
    <n v="1000"/>
    <n v="3000"/>
    <n v="0"/>
    <n v="0"/>
    <n v="1200"/>
    <n v="4200"/>
    <n v="1200"/>
    <s v="Simran Sinha"/>
    <x v="0"/>
    <x v="17"/>
    <s v="Patna"/>
    <s v="Cash on delivery"/>
    <x v="0"/>
  </r>
  <r>
    <s v="ORD1077"/>
    <d v="2025-01-24T00:00:00"/>
    <s v="C077"/>
    <s v="P077"/>
    <n v="4"/>
    <n v="250"/>
    <n v="1000"/>
    <n v="0"/>
    <n v="0"/>
    <n v="400"/>
    <n v="1400"/>
    <n v="400"/>
    <s v="Aniket Banerjee"/>
    <x v="0"/>
    <x v="3"/>
    <s v="Kolkata"/>
    <s v="Cash on delivery"/>
    <x v="0"/>
  </r>
  <r>
    <s v="ORD1078"/>
    <d v="2025-01-24T00:00:00"/>
    <s v="C078"/>
    <s v="P078"/>
    <n v="5"/>
    <n v="175"/>
    <n v="875"/>
    <n v="0"/>
    <n v="0"/>
    <n v="350"/>
    <n v="1225"/>
    <n v="350"/>
    <s v="Tanvi Vohra"/>
    <x v="0"/>
    <x v="7"/>
    <s v="Kolkata"/>
    <s v="UPI"/>
    <x v="0"/>
  </r>
  <r>
    <s v="ORD1079"/>
    <d v="2025-01-24T00:00:00"/>
    <s v="C079"/>
    <s v="P079"/>
    <n v="6"/>
    <n v="500"/>
    <n v="3000"/>
    <n v="0"/>
    <n v="0"/>
    <n v="1200"/>
    <n v="4200"/>
    <n v="1200"/>
    <s v="Manav Sharma"/>
    <x v="0"/>
    <x v="11"/>
    <s v="Delhi"/>
    <s v="UPI"/>
    <x v="0"/>
  </r>
  <r>
    <s v="ORD1080"/>
    <d v="2025-01-24T00:00:00"/>
    <s v="C080"/>
    <s v="P080"/>
    <n v="7"/>
    <n v="700"/>
    <n v="4900"/>
    <n v="0"/>
    <n v="0"/>
    <n v="1960"/>
    <n v="6860"/>
    <n v="1960"/>
    <s v="Shreya Bansal"/>
    <x v="3"/>
    <x v="11"/>
    <s v="Amravati"/>
    <s v="UPI"/>
    <x v="0"/>
  </r>
  <r>
    <s v="ORD1081"/>
    <d v="2025-01-24T00:00:00"/>
    <s v="C081"/>
    <s v="P081"/>
    <n v="8"/>
    <n v="1200"/>
    <n v="9600"/>
    <n v="0"/>
    <n v="0"/>
    <n v="3840"/>
    <n v="13440"/>
    <n v="3840"/>
    <s v="Vivaan Chopra"/>
    <x v="1"/>
    <x v="8"/>
    <s v="Noida"/>
    <s v="UPI"/>
    <x v="1"/>
  </r>
  <r>
    <s v="ORD1082"/>
    <d v="2025-01-24T00:00:00"/>
    <s v="C082"/>
    <s v="P082"/>
    <n v="9"/>
    <n v="900"/>
    <n v="8100"/>
    <n v="0"/>
    <n v="0"/>
    <n v="3240"/>
    <n v="11340"/>
    <n v="3240"/>
    <s v="Avni Sethi"/>
    <x v="1"/>
    <x v="8"/>
    <s v="Noida"/>
    <s v="UPI"/>
    <x v="0"/>
  </r>
  <r>
    <s v="ORD1083"/>
    <d v="2025-01-24T00:00:00"/>
    <s v="C083"/>
    <s v="P083"/>
    <n v="1"/>
    <n v="105000"/>
    <n v="105000"/>
    <n v="0.05"/>
    <n v="5250"/>
    <n v="42000"/>
    <n v="141750"/>
    <n v="36750"/>
    <s v="Reyansh Jain"/>
    <x v="5"/>
    <x v="3"/>
    <s v="Gurugram"/>
    <s v="Credit Card"/>
    <x v="1"/>
  </r>
  <r>
    <s v="ORD1084"/>
    <d v="2025-01-24T00:00:00"/>
    <s v="C084"/>
    <s v="P084"/>
    <n v="2"/>
    <n v="12500"/>
    <n v="25000"/>
    <n v="0.15"/>
    <n v="3750"/>
    <n v="10000"/>
    <n v="31250"/>
    <n v="6250"/>
    <s v="Myra Mukherjee"/>
    <x v="2"/>
    <x v="12"/>
    <s v="Gurugram"/>
    <s v="Credit Card"/>
    <x v="1"/>
  </r>
  <r>
    <s v="ORD1085"/>
    <d v="2025-01-24T00:00:00"/>
    <s v="C085"/>
    <s v="P085"/>
    <n v="3"/>
    <n v="350"/>
    <n v="1050"/>
    <n v="0"/>
    <n v="0"/>
    <n v="420"/>
    <n v="1470"/>
    <n v="420"/>
    <s v="Krish Dubey"/>
    <x v="0"/>
    <x v="18"/>
    <s v="Gurugram"/>
    <s v="UPI"/>
    <x v="0"/>
  </r>
  <r>
    <s v="ORD1086"/>
    <d v="2025-01-24T00:00:00"/>
    <s v="C086"/>
    <s v="P086"/>
    <n v="4"/>
    <n v="650"/>
    <n v="2600"/>
    <n v="0"/>
    <n v="0"/>
    <n v="1040"/>
    <n v="3640"/>
    <n v="1040"/>
    <s v="Kiara Naidu"/>
    <x v="0"/>
    <x v="18"/>
    <s v="Chennai"/>
    <s v="UPI"/>
    <x v="0"/>
  </r>
  <r>
    <s v="ORD1087"/>
    <d v="2025-01-24T00:00:00"/>
    <s v="C087"/>
    <s v="P087"/>
    <n v="5"/>
    <n v="1450"/>
    <n v="7250"/>
    <n v="0.1"/>
    <n v="725"/>
    <n v="2900"/>
    <n v="9425"/>
    <n v="2175"/>
    <s v="Atharv Malhotra"/>
    <x v="3"/>
    <x v="19"/>
    <s v="Noida"/>
    <s v="Credit Card"/>
    <x v="0"/>
  </r>
  <r>
    <s v="ORD1088"/>
    <d v="2025-01-24T00:00:00"/>
    <s v="C088"/>
    <s v="P088"/>
    <n v="7"/>
    <n v="2500"/>
    <n v="17500"/>
    <n v="0.1"/>
    <n v="1750"/>
    <n v="7000"/>
    <n v="22750"/>
    <n v="5250"/>
    <s v="Anika Joshi"/>
    <x v="1"/>
    <x v="19"/>
    <s v="Mumbai"/>
    <s v="Credit Card"/>
    <x v="0"/>
  </r>
  <r>
    <s v="ORD1089"/>
    <d v="2025-01-24T00:00:00"/>
    <s v="C089"/>
    <s v="P089"/>
    <n v="8"/>
    <n v="799"/>
    <n v="6392"/>
    <n v="0"/>
    <n v="0"/>
    <n v="2556.8000000000002"/>
    <n v="8948.7999999999993"/>
    <n v="2556.7999999999993"/>
    <s v="Dhruv Chawla"/>
    <x v="3"/>
    <x v="3"/>
    <s v="Delhi"/>
    <s v="UPI"/>
    <x v="1"/>
  </r>
  <r>
    <s v="ORD1090"/>
    <d v="2025-01-24T00:00:00"/>
    <s v="C090"/>
    <s v="P090"/>
    <n v="8"/>
    <n v="1200"/>
    <n v="9600"/>
    <n v="0.05"/>
    <n v="480"/>
    <n v="3840"/>
    <n v="12960"/>
    <n v="3360"/>
    <s v="Saanvi Goyal"/>
    <x v="1"/>
    <x v="3"/>
    <s v="Gurugram"/>
    <s v="UPI"/>
    <x v="1"/>
  </r>
  <r>
    <s v="ORD1091"/>
    <d v="2025-01-24T00:00:00"/>
    <s v="C091"/>
    <s v="P091"/>
    <n v="8"/>
    <n v="3450"/>
    <n v="27600"/>
    <n v="0.1"/>
    <n v="2760"/>
    <n v="11040"/>
    <n v="35880"/>
    <n v="8280"/>
    <s v="Rudra Pillai"/>
    <x v="2"/>
    <x v="3"/>
    <s v="Coimbatore"/>
    <s v="Credit Card"/>
    <x v="1"/>
  </r>
  <r>
    <s v="ORD1092"/>
    <d v="2025-01-24T00:00:00"/>
    <s v="C092"/>
    <s v="P092"/>
    <n v="9"/>
    <n v="8100"/>
    <n v="72900"/>
    <n v="0.1"/>
    <n v="7290"/>
    <n v="29160"/>
    <n v="94770"/>
    <n v="21870"/>
    <s v="Navya Tripathi"/>
    <x v="2"/>
    <x v="18"/>
    <s v="Ghaziabad"/>
    <s v="Credit Card"/>
    <x v="1"/>
  </r>
  <r>
    <s v="ORD1093"/>
    <d v="2025-01-24T00:00:00"/>
    <s v="C093"/>
    <s v="P093"/>
    <n v="6"/>
    <n v="550"/>
    <n v="3300"/>
    <n v="0"/>
    <n v="0"/>
    <n v="1320"/>
    <n v="4620"/>
    <n v="1320"/>
    <s v="Ayush Bhatt"/>
    <x v="0"/>
    <x v="0"/>
    <s v="Delhi"/>
    <s v="Credit Card"/>
    <x v="1"/>
  </r>
  <r>
    <s v="ORD1094"/>
    <d v="2025-01-25T00:00:00"/>
    <s v="C094"/>
    <s v="P094"/>
    <n v="5"/>
    <n v="1200"/>
    <n v="6000"/>
    <n v="0"/>
    <n v="0"/>
    <n v="2400"/>
    <n v="8400"/>
    <n v="2400"/>
    <s v="Tanya Kapoor"/>
    <x v="3"/>
    <x v="3"/>
    <s v="Pune"/>
    <s v="UPI"/>
    <x v="1"/>
  </r>
  <r>
    <s v="ORD1095"/>
    <d v="2025-01-25T00:00:00"/>
    <s v="C095"/>
    <s v="P095"/>
    <n v="4"/>
    <n v="200"/>
    <n v="800"/>
    <n v="0"/>
    <n v="0"/>
    <n v="320"/>
    <n v="1120"/>
    <n v="320"/>
    <s v="Arnav Nair"/>
    <x v="0"/>
    <x v="0"/>
    <s v="Delhi"/>
    <s v="UPI"/>
    <x v="1"/>
  </r>
  <r>
    <s v="ORD1096"/>
    <d v="2025-01-25T00:00:00"/>
    <s v="C096"/>
    <s v="P096"/>
    <n v="3"/>
    <n v="550"/>
    <n v="1650"/>
    <n v="0"/>
    <n v="0"/>
    <n v="660"/>
    <n v="2310"/>
    <n v="660"/>
    <s v="Ira Rao"/>
    <x v="0"/>
    <x v="5"/>
    <s v="Jammu"/>
    <s v="UPI"/>
    <x v="1"/>
  </r>
  <r>
    <s v="ORD1097"/>
    <d v="2025-01-25T00:00:00"/>
    <s v="C097"/>
    <s v="P097"/>
    <n v="3"/>
    <n v="650"/>
    <n v="1950"/>
    <n v="0"/>
    <n v="0"/>
    <n v="780"/>
    <n v="2730"/>
    <n v="780"/>
    <s v="Shaurya Bhatia"/>
    <x v="0"/>
    <x v="3"/>
    <s v="Karnal"/>
    <s v="UPI"/>
    <x v="1"/>
  </r>
  <r>
    <s v="ORD1098"/>
    <d v="2025-01-25T00:00:00"/>
    <s v="C098"/>
    <s v="P098"/>
    <n v="8"/>
    <n v="3000"/>
    <n v="24000"/>
    <n v="0"/>
    <n v="0"/>
    <n v="9600"/>
    <n v="33600"/>
    <n v="9600"/>
    <s v="Mahi Menon"/>
    <x v="2"/>
    <x v="3"/>
    <s v="Jaipur"/>
    <s v="Credit Card"/>
    <x v="1"/>
  </r>
  <r>
    <s v="ORD1099"/>
    <d v="2025-01-25T00:00:00"/>
    <s v="C099"/>
    <s v="P099"/>
    <n v="7"/>
    <n v="700"/>
    <n v="4900"/>
    <n v="0"/>
    <n v="0"/>
    <n v="1960"/>
    <n v="6860"/>
    <n v="1960"/>
    <s v="Parth Shukla"/>
    <x v="3"/>
    <x v="0"/>
    <s v="Jaipur"/>
    <s v="UPI"/>
    <x v="1"/>
  </r>
  <r>
    <s v="ORD1100"/>
    <d v="2025-01-25T00:00:00"/>
    <s v="C100"/>
    <s v="P100"/>
    <n v="6"/>
    <n v="14500"/>
    <n v="87000"/>
    <n v="0.25"/>
    <n v="21750"/>
    <n v="34800"/>
    <n v="100050"/>
    <n v="13050"/>
    <s v="Aanya Ahuja"/>
    <x v="4"/>
    <x v="3"/>
    <s v="Delhi"/>
    <s v="Credit Card"/>
    <x v="1"/>
  </r>
  <r>
    <s v="ORD1101"/>
    <d v="2025-01-25T00:00:00"/>
    <s v="C101"/>
    <s v="P101"/>
    <n v="5"/>
    <n v="12500"/>
    <n v="62500"/>
    <n v="0.2"/>
    <n v="12500"/>
    <n v="25000"/>
    <n v="75000"/>
    <n v="12500"/>
    <s v="Aarav Kapoor"/>
    <x v="2"/>
    <x v="3"/>
    <s v="Delhi"/>
    <s v="Credit Card"/>
    <x v="1"/>
  </r>
  <r>
    <s v="ORD1102"/>
    <d v="2025-01-25T00:00:00"/>
    <s v="C102"/>
    <s v="P102"/>
    <n v="4"/>
    <n v="10500"/>
    <n v="42000"/>
    <n v="0.15"/>
    <n v="6300"/>
    <n v="16800"/>
    <n v="52500"/>
    <n v="10500"/>
    <s v="Aditi Nair"/>
    <x v="2"/>
    <x v="3"/>
    <s v="Kochi"/>
    <s v="Credit Card"/>
    <x v="1"/>
  </r>
  <r>
    <s v="ORD1103"/>
    <d v="2025-01-25T00:00:00"/>
    <s v="C103"/>
    <s v="P103"/>
    <n v="5"/>
    <n v="25000"/>
    <n v="125000"/>
    <n v="0.15"/>
    <n v="18750"/>
    <n v="50000"/>
    <n v="156250"/>
    <n v="31250"/>
    <s v="Arjun Rao"/>
    <x v="5"/>
    <x v="3"/>
    <s v="pune"/>
    <s v="EMI "/>
    <x v="1"/>
  </r>
  <r>
    <s v="ORD1104"/>
    <d v="2025-01-25T00:00:00"/>
    <s v="C104"/>
    <s v="P104"/>
    <n v="3"/>
    <n v="12000"/>
    <n v="36000"/>
    <n v="0.1"/>
    <n v="3600"/>
    <n v="14400"/>
    <n v="46800"/>
    <n v="10800"/>
    <s v="Ananya Bhatia"/>
    <x v="2"/>
    <x v="3"/>
    <s v="Delhi"/>
    <s v="No Cost EMI"/>
    <x v="1"/>
  </r>
  <r>
    <s v="ORD1105"/>
    <d v="2025-01-25T00:00:00"/>
    <s v="C105"/>
    <s v="P105"/>
    <n v="2"/>
    <n v="20000"/>
    <n v="40000"/>
    <n v="0.25"/>
    <n v="10000"/>
    <n v="16000"/>
    <n v="46000"/>
    <n v="6000"/>
    <s v="Aditya Menon"/>
    <x v="2"/>
    <x v="3"/>
    <s v="ghaziabad"/>
    <s v="Credit Card"/>
    <x v="1"/>
  </r>
  <r>
    <s v="ORD1106"/>
    <d v="2025-01-25T00:00:00"/>
    <s v="C106"/>
    <s v="P106"/>
    <n v="3"/>
    <n v="30000"/>
    <n v="90000"/>
    <n v="0.16"/>
    <n v="14400"/>
    <n v="36000"/>
    <n v="111600"/>
    <n v="21600"/>
    <s v="Ishita Shukla"/>
    <x v="4"/>
    <x v="3"/>
    <s v="Faridabad"/>
    <s v="EMI "/>
    <x v="1"/>
  </r>
  <r>
    <s v="ORD1107"/>
    <d v="2025-01-25T00:00:00"/>
    <s v="C107"/>
    <s v="P107"/>
    <n v="4"/>
    <n v="40000"/>
    <n v="160000"/>
    <n v="0.05"/>
    <n v="8000"/>
    <n v="64000"/>
    <n v="216000"/>
    <n v="56000"/>
    <s v="Kabir Ahuja"/>
    <x v="5"/>
    <x v="3"/>
    <s v="Gurugram"/>
    <s v="EMI "/>
    <x v="1"/>
  </r>
  <r>
    <s v="ORD1108"/>
    <d v="2025-01-25T00:00:00"/>
    <s v="C108"/>
    <s v="P108"/>
    <n v="4"/>
    <n v="32000"/>
    <n v="128000"/>
    <n v="0.05"/>
    <n v="6400"/>
    <n v="51200"/>
    <n v="172800"/>
    <n v="44800"/>
    <s v="Meera Singh"/>
    <x v="5"/>
    <x v="3"/>
    <s v="Delhi"/>
    <s v="No Cost EMI"/>
    <x v="1"/>
  </r>
  <r>
    <s v="ORD1109"/>
    <d v="2025-01-25T00:00:00"/>
    <s v="C109"/>
    <s v="P109"/>
    <n v="2"/>
    <n v="70000"/>
    <n v="140000"/>
    <n v="0.05"/>
    <n v="7000"/>
    <n v="56000"/>
    <n v="189000"/>
    <n v="49000"/>
    <s v="Rohan Reddy"/>
    <x v="5"/>
    <x v="3"/>
    <s v="Bangalore"/>
    <s v="No Cost EMI"/>
    <x v="1"/>
  </r>
  <r>
    <s v="ORD1110"/>
    <d v="2025-01-25T00:00:00"/>
    <s v="C110"/>
    <s v="P110"/>
    <n v="11"/>
    <n v="15600"/>
    <n v="171600"/>
    <n v="0.1"/>
    <n v="17160"/>
    <n v="68640"/>
    <n v="223080"/>
    <n v="51480"/>
    <s v="Priya Das"/>
    <x v="5"/>
    <x v="3"/>
    <s v="Kolkata"/>
    <s v="EMI "/>
    <x v="1"/>
  </r>
  <r>
    <s v="ORD1111"/>
    <d v="2025-01-25T00:00:00"/>
    <s v="C111"/>
    <s v="P111"/>
    <n v="22"/>
    <n v="25000"/>
    <n v="550000"/>
    <n v="0.25"/>
    <n v="137500"/>
    <n v="220000"/>
    <n v="632500"/>
    <n v="82500"/>
    <s v="Rahul Arora"/>
    <x v="5"/>
    <x v="3"/>
    <s v="Gurugram"/>
    <s v="Buy Now Pay later"/>
    <x v="1"/>
  </r>
  <r>
    <s v="ORD1112"/>
    <d v="2025-01-25T00:00:00"/>
    <s v="C112"/>
    <s v="P112"/>
    <n v="13"/>
    <n v="14000"/>
    <n v="182000"/>
    <n v="0.1"/>
    <n v="18200"/>
    <n v="72800"/>
    <n v="236600"/>
    <n v="54600"/>
    <s v="Sneha Desai"/>
    <x v="5"/>
    <x v="20"/>
    <s v="Ghaziabad"/>
    <s v="Buy Now Pay later"/>
    <x v="1"/>
  </r>
  <r>
    <s v="ORD1113"/>
    <d v="2025-01-25T00:00:00"/>
    <s v="C113"/>
    <s v="P113"/>
    <n v="15"/>
    <n v="7500"/>
    <n v="112500"/>
    <n v="0.05"/>
    <n v="5625"/>
    <n v="45000"/>
    <n v="151875"/>
    <n v="39375"/>
    <s v="Vihaan Thakur"/>
    <x v="5"/>
    <x v="20"/>
    <s v="Faridabad"/>
    <s v="No Cost EMI"/>
    <x v="1"/>
  </r>
  <r>
    <s v="ORD1114"/>
    <d v="2025-01-25T00:00:00"/>
    <s v="C114"/>
    <s v="P114"/>
    <n v="15"/>
    <n v="4500"/>
    <n v="67500"/>
    <n v="0.1"/>
    <n v="6750"/>
    <n v="27000"/>
    <n v="87750"/>
    <n v="20250"/>
    <s v="Diya Kohli"/>
    <x v="2"/>
    <x v="20"/>
    <s v="Delhi"/>
    <s v="EMI "/>
    <x v="1"/>
  </r>
  <r>
    <s v="ORD1115"/>
    <d v="2025-01-25T00:00:00"/>
    <s v="C115"/>
    <s v="P115"/>
    <n v="16"/>
    <n v="1450"/>
    <n v="23200"/>
    <n v="0.05"/>
    <n v="1160"/>
    <n v="9280"/>
    <n v="31320"/>
    <n v="8120"/>
    <s v="Karan Mehta"/>
    <x v="2"/>
    <x v="20"/>
    <s v="Surat"/>
    <s v="UPI"/>
    <x v="1"/>
  </r>
  <r>
    <s v="ORD1116"/>
    <d v="2025-01-25T00:00:00"/>
    <s v="C116"/>
    <s v="P116"/>
    <n v="2"/>
    <n v="12500"/>
    <n v="25000"/>
    <n v="0.15"/>
    <n v="3750"/>
    <n v="10000"/>
    <n v="31250"/>
    <n v="6250"/>
    <s v="Neha Patel"/>
    <x v="2"/>
    <x v="3"/>
    <s v="Surat"/>
    <s v="Credit Card"/>
    <x v="1"/>
  </r>
  <r>
    <s v="ORD1117"/>
    <d v="2025-01-25T00:00:00"/>
    <s v="C117"/>
    <s v="P117"/>
    <n v="3"/>
    <n v="3500"/>
    <n v="10500"/>
    <n v="0"/>
    <n v="0"/>
    <n v="4200"/>
    <n v="14700"/>
    <n v="4200"/>
    <s v="Aryan Khan"/>
    <x v="1"/>
    <x v="3"/>
    <s v="Mumbai"/>
    <s v="Credit Card"/>
    <x v="1"/>
  </r>
  <r>
    <s v="ORD1118"/>
    <d v="2025-01-25T00:00:00"/>
    <s v="C118"/>
    <s v="P118"/>
    <n v="4"/>
    <n v="124500"/>
    <n v="498000"/>
    <n v="0.15"/>
    <n v="74700"/>
    <n v="199200"/>
    <n v="622500"/>
    <n v="124500"/>
    <s v="Kavya Khanna"/>
    <x v="5"/>
    <x v="3"/>
    <s v="Delhi"/>
    <s v="Credit Card"/>
    <x v="0"/>
  </r>
  <r>
    <s v="ORD1119"/>
    <d v="2025-01-25T00:00:00"/>
    <s v="C119"/>
    <s v="P119"/>
    <n v="5"/>
    <n v="15200"/>
    <n v="76000"/>
    <n v="0.05"/>
    <n v="3800"/>
    <n v="30400"/>
    <n v="102600"/>
    <n v="26600"/>
    <s v="Yash Kulkarni"/>
    <x v="4"/>
    <x v="3"/>
    <s v="Karnal"/>
    <s v="UPI"/>
    <x v="0"/>
  </r>
  <r>
    <s v="ORD1120"/>
    <d v="2025-01-25T00:00:00"/>
    <s v="C120"/>
    <s v="P120"/>
    <n v="6"/>
    <n v="23565"/>
    <n v="141390"/>
    <n v="0.15"/>
    <n v="21208.5"/>
    <n v="56556"/>
    <n v="176737.5"/>
    <n v="35347.5"/>
    <s v="Riya Yadav"/>
    <x v="5"/>
    <x v="3"/>
    <s v="Jind"/>
    <s v="Credit Card"/>
    <x v="0"/>
  </r>
  <r>
    <s v="ORD1121"/>
    <d v="2025-01-26T00:00:00"/>
    <s v="C121"/>
    <s v="P121"/>
    <n v="7"/>
    <n v="70000"/>
    <n v="490000"/>
    <n v="0.25"/>
    <n v="122500"/>
    <n v="196000"/>
    <n v="563500"/>
    <n v="73500"/>
    <s v="Dev Mathur"/>
    <x v="5"/>
    <x v="3"/>
    <s v="Rohtak"/>
    <s v="Credit Card"/>
    <x v="0"/>
  </r>
  <r>
    <s v="ORD1122"/>
    <d v="2025-01-26T00:00:00"/>
    <s v="C122"/>
    <s v="P122"/>
    <n v="8"/>
    <n v="8000"/>
    <n v="64000"/>
    <n v="0.15"/>
    <n v="9600"/>
    <n v="25600"/>
    <n v="80000"/>
    <n v="16000"/>
    <s v="Nisha Gupta"/>
    <x v="2"/>
    <x v="19"/>
    <s v="Varanasi"/>
    <s v="Credit Card"/>
    <x v="0"/>
  </r>
  <r>
    <s v="ORD1123"/>
    <d v="2025-01-26T00:00:00"/>
    <s v="C123"/>
    <s v="P123"/>
    <n v="9"/>
    <n v="11000"/>
    <n v="99000"/>
    <n v="0.25"/>
    <n v="24750"/>
    <n v="39600"/>
    <n v="113850"/>
    <n v="14850"/>
    <s v="Siddharth Iyer"/>
    <x v="4"/>
    <x v="19"/>
    <s v="Vishakhapatnam"/>
    <s v="Credit Card"/>
    <x v="0"/>
  </r>
  <r>
    <s v="ORD1124"/>
    <d v="2025-01-26T00:00:00"/>
    <s v="C124"/>
    <s v="P124"/>
    <n v="8"/>
    <n v="14000"/>
    <n v="112000"/>
    <n v="0.15"/>
    <n v="16800"/>
    <n v="44800"/>
    <n v="140000"/>
    <n v="28000"/>
    <s v="Pooja Mishra"/>
    <x v="5"/>
    <x v="19"/>
    <s v="Ayodhya"/>
    <s v="Credit Card"/>
    <x v="0"/>
  </r>
  <r>
    <s v="ORD1125"/>
    <d v="2025-01-26T00:00:00"/>
    <s v="C125"/>
    <s v="P125"/>
    <n v="9"/>
    <n v="17000"/>
    <n v="153000"/>
    <n v="0.25"/>
    <n v="38250"/>
    <n v="61200"/>
    <n v="175950"/>
    <n v="22950"/>
    <s v="Varun Pandey"/>
    <x v="5"/>
    <x v="19"/>
    <s v="Ayodhya"/>
    <s v="EMI "/>
    <x v="0"/>
  </r>
  <r>
    <s v="ORD1126"/>
    <d v="2025-01-26T00:00:00"/>
    <s v="C126"/>
    <s v="P126"/>
    <n v="8"/>
    <n v="20000"/>
    <n v="160000"/>
    <n v="0.15"/>
    <n v="24000"/>
    <n v="64000"/>
    <n v="200000"/>
    <n v="40000"/>
    <s v="Simran Srivastava"/>
    <x v="5"/>
    <x v="21"/>
    <s v="Ghaziabad"/>
    <s v="EMI "/>
    <x v="0"/>
  </r>
  <r>
    <s v="ORD1127"/>
    <d v="2025-01-26T00:00:00"/>
    <s v="C127"/>
    <s v="P127"/>
    <n v="9"/>
    <n v="23000"/>
    <n v="207000"/>
    <n v="0.25"/>
    <n v="51750"/>
    <n v="82800"/>
    <n v="238050"/>
    <n v="31050"/>
    <s v="Aniket Dutta"/>
    <x v="5"/>
    <x v="19"/>
    <s v="Noida"/>
    <s v="EMI "/>
    <x v="0"/>
  </r>
  <r>
    <s v="ORD1128"/>
    <d v="2025-01-26T00:00:00"/>
    <s v="C128"/>
    <s v="P128"/>
    <n v="8"/>
    <n v="26000"/>
    <n v="208000"/>
    <n v="0.15"/>
    <n v="31200"/>
    <n v="83200"/>
    <n v="260000"/>
    <n v="52000"/>
    <s v="Tanvi Sood"/>
    <x v="5"/>
    <x v="19"/>
    <s v="Chandigarh"/>
    <s v="EMI "/>
    <x v="0"/>
  </r>
  <r>
    <s v="ORD1129"/>
    <d v="2025-01-26T00:00:00"/>
    <s v="C129"/>
    <s v="P129"/>
    <n v="9"/>
    <n v="29000"/>
    <n v="261000"/>
    <n v="0.25"/>
    <n v="65250"/>
    <n v="104400"/>
    <n v="300150"/>
    <n v="39150"/>
    <s v="Manav Verma"/>
    <x v="5"/>
    <x v="19"/>
    <s v="Chandigarh"/>
    <s v="EMI "/>
    <x v="0"/>
  </r>
  <r>
    <s v="ORD1130"/>
    <d v="2025-01-26T00:00:00"/>
    <s v="C130"/>
    <s v="P130"/>
    <n v="9"/>
    <n v="32000"/>
    <n v="288000"/>
    <n v="0.15"/>
    <n v="43200"/>
    <n v="115200"/>
    <n v="360000"/>
    <n v="72000"/>
    <s v="Shreya Agarwal"/>
    <x v="5"/>
    <x v="3"/>
    <s v="Delhi"/>
    <s v="EMI "/>
    <x v="1"/>
  </r>
  <r>
    <s v="ORD1131"/>
    <d v="2025-01-26T00:00:00"/>
    <s v="C131"/>
    <s v="P131"/>
    <n v="9"/>
    <n v="35000"/>
    <n v="315000"/>
    <n v="0.02"/>
    <n v="6300"/>
    <n v="126000"/>
    <n v="434700"/>
    <n v="119700"/>
    <s v="Vivaan Saxena"/>
    <x v="5"/>
    <x v="19"/>
    <s v="Delhi"/>
    <s v="EMI "/>
    <x v="1"/>
  </r>
  <r>
    <s v="ORD1132"/>
    <d v="2025-01-26T00:00:00"/>
    <s v="C132"/>
    <s v="P132"/>
    <n v="8"/>
    <n v="38000"/>
    <n v="304000"/>
    <n v="0.02"/>
    <n v="6080"/>
    <n v="121600"/>
    <n v="419520"/>
    <n v="115520"/>
    <s v="Avni Tiwari"/>
    <x v="5"/>
    <x v="8"/>
    <s v="Delhi"/>
    <s v="EMI "/>
    <x v="1"/>
  </r>
  <r>
    <s v="ORD1133"/>
    <d v="2025-01-26T00:00:00"/>
    <s v="C133"/>
    <s v="P133"/>
    <n v="7"/>
    <n v="41000"/>
    <n v="287000"/>
    <n v="0.2"/>
    <n v="57400"/>
    <n v="114800"/>
    <n v="344400"/>
    <n v="57400"/>
    <s v="Reyansh Sinha"/>
    <x v="5"/>
    <x v="8"/>
    <s v="Delhi"/>
    <s v="EMI "/>
    <x v="1"/>
  </r>
  <r>
    <s v="ORD1134"/>
    <d v="2025-01-26T00:00:00"/>
    <s v="C134"/>
    <s v="P134"/>
    <n v="2"/>
    <n v="47500"/>
    <n v="95000"/>
    <n v="0.1"/>
    <n v="9500"/>
    <n v="38000"/>
    <n v="123500"/>
    <n v="28500"/>
    <s v="Myra Banerjee"/>
    <x v="4"/>
    <x v="8"/>
    <s v="Kolkata"/>
    <s v="EMI "/>
    <x v="1"/>
  </r>
  <r>
    <s v="ORD1135"/>
    <d v="2025-01-26T00:00:00"/>
    <s v="C135"/>
    <s v="P135"/>
    <n v="2"/>
    <n v="49000"/>
    <n v="98000"/>
    <n v="0.15"/>
    <n v="14700"/>
    <n v="39200"/>
    <n v="122500"/>
    <n v="24500"/>
    <s v="Krish Vohra"/>
    <x v="4"/>
    <x v="8"/>
    <s v="Mumbai"/>
    <s v="EMI "/>
    <x v="1"/>
  </r>
  <r>
    <s v="ORD1136"/>
    <d v="2025-01-26T00:00:00"/>
    <s v="C136"/>
    <s v="P136"/>
    <n v="2"/>
    <n v="51500"/>
    <n v="103000"/>
    <n v="0.2"/>
    <n v="20600"/>
    <n v="41200"/>
    <n v="123600"/>
    <n v="20600"/>
    <s v="Kiara Sharma"/>
    <x v="4"/>
    <x v="8"/>
    <s v="Pune"/>
    <s v="Credit Card"/>
    <x v="1"/>
  </r>
  <r>
    <s v="ORD1137"/>
    <d v="2025-01-26T00:00:00"/>
    <s v="C137"/>
    <s v="P137"/>
    <n v="1"/>
    <n v="70000"/>
    <n v="70000"/>
    <n v="0.125"/>
    <n v="8750"/>
    <n v="28000"/>
    <n v="89250"/>
    <n v="19250"/>
    <s v="Atharv Bansal"/>
    <x v="2"/>
    <x v="3"/>
    <s v="Chandigarh"/>
    <s v="EMI "/>
    <x v="1"/>
  </r>
  <r>
    <s v="ORD1138"/>
    <d v="2025-01-26T00:00:00"/>
    <s v="C138"/>
    <s v="P138"/>
    <n v="1"/>
    <n v="81000"/>
    <n v="81000"/>
    <n v="0.2"/>
    <n v="16200"/>
    <n v="32400"/>
    <n v="97200"/>
    <n v="16200"/>
    <s v="Anika Chopra"/>
    <x v="2"/>
    <x v="3"/>
    <s v="Noida"/>
    <s v="EMI "/>
    <x v="1"/>
  </r>
  <r>
    <s v="ORD1139"/>
    <d v="2025-01-26T00:00:00"/>
    <s v="C139"/>
    <s v="P139"/>
    <n v="2"/>
    <n v="56000"/>
    <n v="112000"/>
    <n v="0.25"/>
    <n v="28000"/>
    <n v="44800"/>
    <n v="128800"/>
    <n v="16800"/>
    <s v="Dhruv Sethi"/>
    <x v="5"/>
    <x v="19"/>
    <s v="Ghaziabad"/>
    <s v="EMI "/>
    <x v="1"/>
  </r>
  <r>
    <s v="ORD1140"/>
    <d v="2025-01-26T00:00:00"/>
    <s v="C140"/>
    <s v="P140"/>
    <n v="1"/>
    <n v="35000"/>
    <n v="35000"/>
    <n v="0.05"/>
    <n v="1750"/>
    <n v="14000"/>
    <n v="47250"/>
    <n v="12250"/>
    <s v="Saanvi Jain"/>
    <x v="2"/>
    <x v="3"/>
    <s v="Kanpur"/>
    <s v="Credit Card"/>
    <x v="1"/>
  </r>
  <r>
    <s v="ORD1141"/>
    <d v="2025-01-26T00:00:00"/>
    <s v="C141"/>
    <s v="P141"/>
    <n v="3"/>
    <n v="24500"/>
    <n v="73500"/>
    <n v="0.12"/>
    <n v="8820"/>
    <n v="29400"/>
    <n v="94080"/>
    <n v="20580"/>
    <s v="Rudra Mukherjee"/>
    <x v="2"/>
    <x v="20"/>
    <s v="Aurangabad"/>
    <s v="EMI "/>
    <x v="1"/>
  </r>
  <r>
    <s v="ORD1142"/>
    <d v="2025-01-26T00:00:00"/>
    <s v="C142"/>
    <s v="P142"/>
    <n v="1"/>
    <n v="245000"/>
    <n v="245000"/>
    <n v="0.25"/>
    <n v="61250"/>
    <n v="98000"/>
    <n v="281750"/>
    <n v="36750"/>
    <s v="Navya Dubey"/>
    <x v="5"/>
    <x v="3"/>
    <s v="Aligarh "/>
    <s v="EMI "/>
    <x v="1"/>
  </r>
  <r>
    <s v="ORD1143"/>
    <d v="2025-01-26T00:00:00"/>
    <s v="C143"/>
    <s v="P143"/>
    <n v="2"/>
    <n v="34599"/>
    <n v="69198"/>
    <n v="0.25"/>
    <n v="17299.5"/>
    <n v="27679.200000000001"/>
    <n v="79577.7"/>
    <n v="10379.699999999997"/>
    <s v="Ayush Naidu"/>
    <x v="2"/>
    <x v="3"/>
    <s v="Vizag"/>
    <s v="EMI "/>
    <x v="1"/>
  </r>
  <r>
    <s v="ORD1144"/>
    <d v="2025-01-26T00:00:00"/>
    <s v="C144"/>
    <s v="P144"/>
    <n v="3"/>
    <n v="45612"/>
    <n v="136836"/>
    <n v="0.2"/>
    <n v="27367.200000000001"/>
    <n v="54734.400000000001"/>
    <n v="164203.19999999998"/>
    <n v="27367.199999999983"/>
    <s v="Tanya Malhotra"/>
    <x v="5"/>
    <x v="3"/>
    <s v="Faridabad"/>
    <s v="Credit Card"/>
    <x v="1"/>
  </r>
  <r>
    <s v="ORD1145"/>
    <d v="2025-01-26T00:00:00"/>
    <s v="C145"/>
    <s v="P145"/>
    <n v="4"/>
    <n v="12345"/>
    <n v="49380"/>
    <n v="0.15"/>
    <n v="7407"/>
    <n v="19752"/>
    <n v="61725"/>
    <n v="12345"/>
    <s v="Arnav Joshi"/>
    <x v="2"/>
    <x v="8"/>
    <s v="Kannauj"/>
    <s v="EMI "/>
    <x v="1"/>
  </r>
  <r>
    <s v="ORD1146"/>
    <d v="2025-01-26T00:00:00"/>
    <s v="C146"/>
    <s v="P146"/>
    <n v="1"/>
    <n v="30000"/>
    <n v="30000"/>
    <n v="0.1"/>
    <n v="3000"/>
    <n v="12000"/>
    <n v="39000"/>
    <n v="9000"/>
    <s v="Ira Chawla"/>
    <x v="2"/>
    <x v="3"/>
    <s v="Rohtak"/>
    <s v="EMI "/>
    <x v="1"/>
  </r>
  <r>
    <s v="ORD1147"/>
    <d v="2025-01-26T00:00:00"/>
    <s v="C147"/>
    <s v="P147"/>
    <n v="3"/>
    <n v="31000"/>
    <n v="93000"/>
    <n v="0.14000000000000001"/>
    <n v="13020.000000000002"/>
    <n v="37200"/>
    <n v="117180"/>
    <n v="24180"/>
    <s v="Shaurya Goyal"/>
    <x v="4"/>
    <x v="8"/>
    <s v="Sonipat"/>
    <s v="EMI "/>
    <x v="1"/>
  </r>
  <r>
    <s v="ORD1148"/>
    <d v="2025-01-26T00:00:00"/>
    <s v="C148"/>
    <s v="P148"/>
    <n v="3"/>
    <n v="32000"/>
    <n v="96000"/>
    <n v="0.25"/>
    <n v="24000"/>
    <n v="38400"/>
    <n v="110400"/>
    <n v="14400"/>
    <s v="Mahi Pillai"/>
    <x v="4"/>
    <x v="19"/>
    <s v="Vizag"/>
    <s v="EMI "/>
    <x v="1"/>
  </r>
  <r>
    <s v="ORD1149"/>
    <d v="2025-01-26T00:00:00"/>
    <s v="C149"/>
    <s v="P149"/>
    <n v="3"/>
    <n v="33000"/>
    <n v="99000"/>
    <n v="0.35"/>
    <n v="34650"/>
    <n v="39600"/>
    <n v="103950"/>
    <n v="4950"/>
    <s v="Parth Tripathi"/>
    <x v="4"/>
    <x v="8"/>
    <s v="Panipat"/>
    <s v="EMI "/>
    <x v="1"/>
  </r>
  <r>
    <s v="ORD1150"/>
    <d v="2025-01-26T00:00:00"/>
    <s v="C150"/>
    <s v="P150"/>
    <n v="3"/>
    <n v="34000"/>
    <n v="102000"/>
    <n v="0.25"/>
    <n v="25500"/>
    <n v="40800"/>
    <n v="117300"/>
    <n v="15300"/>
    <s v="Aanya Bhatt"/>
    <x v="4"/>
    <x v="8"/>
    <s v="Baghpat"/>
    <s v="EMI "/>
    <x v="1"/>
  </r>
  <r>
    <s v="ORD1151"/>
    <d v="2025-01-26T00:00:00"/>
    <s v="C151"/>
    <s v="P151"/>
    <n v="4"/>
    <n v="35000"/>
    <n v="140000"/>
    <n v="0.25"/>
    <n v="35000"/>
    <n v="56000"/>
    <n v="161000"/>
    <n v="21000"/>
    <s v="Aarav Malhotra"/>
    <x v="5"/>
    <x v="8"/>
    <s v="ghaziabad"/>
    <s v="Credit Card"/>
    <x v="1"/>
  </r>
  <r>
    <s v="ORD1152"/>
    <d v="2025-01-26T00:00:00"/>
    <s v="C152"/>
    <s v="P152"/>
    <n v="4"/>
    <n v="36000"/>
    <n v="144000"/>
    <n v="0.1"/>
    <n v="14400"/>
    <n v="57600"/>
    <n v="187200"/>
    <n v="43200"/>
    <s v="Aditi Joshi"/>
    <x v="5"/>
    <x v="8"/>
    <s v="Delhi"/>
    <s v="Credit Card"/>
    <x v="1"/>
  </r>
  <r>
    <s v="ORD1153"/>
    <d v="2025-01-26T00:00:00"/>
    <s v="C153"/>
    <s v="P153"/>
    <n v="4"/>
    <n v="37000"/>
    <n v="148000"/>
    <n v="0.15"/>
    <n v="22200"/>
    <n v="59200"/>
    <n v="185000"/>
    <n v="37000"/>
    <s v="Arjun Chawla"/>
    <x v="5"/>
    <x v="8"/>
    <s v="Mumbai"/>
    <s v="EMI "/>
    <x v="1"/>
  </r>
  <r>
    <s v="ORD1154"/>
    <d v="2025-01-26T00:00:00"/>
    <s v="C154"/>
    <s v="P154"/>
    <n v="4"/>
    <n v="38000"/>
    <n v="152000"/>
    <n v="0.1"/>
    <n v="15200"/>
    <n v="60800"/>
    <n v="197600"/>
    <n v="45600"/>
    <s v="Ananya Goyal"/>
    <x v="5"/>
    <x v="8"/>
    <s v="Meerut"/>
    <s v="EMI "/>
    <x v="1"/>
  </r>
  <r>
    <s v="ORD1155"/>
    <d v="2025-01-26T00:00:00"/>
    <s v="C155"/>
    <s v="P155"/>
    <n v="4"/>
    <n v="39000"/>
    <n v="156000"/>
    <n v="0.13"/>
    <n v="20280"/>
    <n v="62400"/>
    <n v="198120"/>
    <n v="42120"/>
    <s v="Aditya Pillai"/>
    <x v="5"/>
    <x v="8"/>
    <s v="Gurugram"/>
    <s v="EMI "/>
    <x v="1"/>
  </r>
  <r>
    <s v="ORD1156"/>
    <d v="2025-01-26T00:00:00"/>
    <s v="C156"/>
    <s v="P156"/>
    <n v="4"/>
    <n v="40000"/>
    <n v="160000"/>
    <n v="0.14000000000000001"/>
    <n v="22400.000000000004"/>
    <n v="64000"/>
    <n v="201600"/>
    <n v="41600"/>
    <s v="Ishita Dagar"/>
    <x v="5"/>
    <x v="8"/>
    <s v="Rohtak"/>
    <s v="Buy Now Pay later"/>
    <x v="1"/>
  </r>
  <r>
    <s v="ORD1157"/>
    <d v="2025-01-26T00:00:00"/>
    <s v="C157"/>
    <s v="P157"/>
    <n v="5"/>
    <n v="41000"/>
    <n v="205000"/>
    <n v="0.16"/>
    <n v="32800"/>
    <n v="82000"/>
    <n v="254200"/>
    <n v="49200"/>
    <s v="Kabir Bhatt"/>
    <x v="5"/>
    <x v="8"/>
    <s v="Srinagar"/>
    <s v="EMI "/>
    <x v="1"/>
  </r>
  <r>
    <s v="ORD1158"/>
    <d v="2025-01-26T00:00:00"/>
    <s v="C158"/>
    <s v="P158"/>
    <n v="5"/>
    <n v="42000"/>
    <n v="210000"/>
    <n v="0.12"/>
    <n v="25200"/>
    <n v="84000"/>
    <n v="268800"/>
    <n v="58800"/>
    <s v="Meera Kapoor"/>
    <x v="5"/>
    <x v="8"/>
    <s v="Srinagar"/>
    <s v="EMI "/>
    <x v="1"/>
  </r>
  <r>
    <s v="ORD1159"/>
    <d v="2025-01-26T00:00:00"/>
    <s v="C159"/>
    <s v="P159"/>
    <n v="5"/>
    <n v="43000"/>
    <n v="215000"/>
    <n v="0.11"/>
    <n v="23650"/>
    <n v="86000"/>
    <n v="277350"/>
    <n v="62350"/>
    <s v="Rohan Nair"/>
    <x v="5"/>
    <x v="8"/>
    <s v="Vizag"/>
    <s v="Credit Card"/>
    <x v="1"/>
  </r>
  <r>
    <s v="ORD1160"/>
    <d v="2025-01-26T00:00:00"/>
    <s v="C160"/>
    <s v="P160"/>
    <n v="5"/>
    <n v="44000"/>
    <n v="220000"/>
    <n v="0.4"/>
    <n v="88000"/>
    <n v="88000"/>
    <n v="220000"/>
    <n v="0"/>
    <s v="Priya Rao"/>
    <x v="5"/>
    <x v="8"/>
    <s v="Faridabad"/>
    <s v="EMI "/>
    <x v="1"/>
  </r>
  <r>
    <s v="ORD1161"/>
    <d v="2025-01-26T00:00:00"/>
    <s v="C161"/>
    <s v="P161"/>
    <n v="5"/>
    <n v="45000"/>
    <n v="225000"/>
    <n v="0.4"/>
    <n v="90000"/>
    <n v="90000"/>
    <n v="225000"/>
    <n v="0"/>
    <s v="Rahul Bhatia"/>
    <x v="5"/>
    <x v="8"/>
    <s v="Chandigarh"/>
    <s v="Credit Card"/>
    <x v="1"/>
  </r>
  <r>
    <s v="ORD1162"/>
    <d v="2025-01-26T00:00:00"/>
    <s v="C162"/>
    <s v="P162"/>
    <n v="5"/>
    <n v="46000"/>
    <n v="230000"/>
    <n v="0.4"/>
    <n v="92000"/>
    <n v="92000"/>
    <n v="230000"/>
    <n v="0"/>
    <s v="Sneha Menon"/>
    <x v="5"/>
    <x v="19"/>
    <s v="Kannauj"/>
    <s v="EMI "/>
    <x v="1"/>
  </r>
  <r>
    <s v="ORD1163"/>
    <d v="2025-01-26T00:00:00"/>
    <s v="C163"/>
    <s v="P163"/>
    <n v="5"/>
    <n v="47000"/>
    <n v="235000"/>
    <n v="0.2"/>
    <n v="47000"/>
    <n v="94000"/>
    <n v="282000"/>
    <n v="47000"/>
    <s v="Vihaan Shukla"/>
    <x v="5"/>
    <x v="19"/>
    <s v="Faridabad"/>
    <s v="EMI "/>
    <x v="1"/>
  </r>
  <r>
    <s v="ORD1164"/>
    <d v="2025-01-27T00:00:00"/>
    <s v="C164"/>
    <s v="P164"/>
    <n v="5"/>
    <n v="48000"/>
    <n v="240000"/>
    <n v="4.4999999999999998E-2"/>
    <n v="10800"/>
    <n v="96000"/>
    <n v="325200"/>
    <n v="85200"/>
    <s v="Diya Ahuja"/>
    <x v="5"/>
    <x v="19"/>
    <s v="Chandigarh"/>
    <s v="EMI "/>
    <x v="1"/>
  </r>
  <r>
    <s v="ORD1165"/>
    <d v="2025-01-27T00:00:00"/>
    <s v="C165"/>
    <s v="P165"/>
    <n v="5"/>
    <n v="49000"/>
    <n v="245000"/>
    <n v="5.5E-2"/>
    <n v="13475"/>
    <n v="98000"/>
    <n v="329525"/>
    <n v="84525"/>
    <s v="Karan Singh"/>
    <x v="5"/>
    <x v="19"/>
    <s v="Gorakhpur"/>
    <s v="EMI "/>
    <x v="1"/>
  </r>
  <r>
    <s v="ORD1166"/>
    <d v="2025-01-27T00:00:00"/>
    <s v="C166"/>
    <s v="P166"/>
    <n v="5"/>
    <n v="50000"/>
    <n v="250000"/>
    <n v="0.4"/>
    <n v="100000"/>
    <n v="100000"/>
    <n v="250000"/>
    <n v="0"/>
    <s v="Neha Reddy"/>
    <x v="5"/>
    <x v="3"/>
    <s v="Bareilly"/>
    <s v="EMI "/>
    <x v="1"/>
  </r>
  <r>
    <s v="ORD1167"/>
    <d v="2025-01-27T00:00:00"/>
    <s v="C167"/>
    <s v="P167"/>
    <n v="5"/>
    <n v="51000"/>
    <n v="255000"/>
    <n v="0.1"/>
    <n v="25500"/>
    <n v="102000"/>
    <n v="331500"/>
    <n v="76500"/>
    <s v="Aryan Das"/>
    <x v="5"/>
    <x v="3"/>
    <s v="Kolkata"/>
    <s v="EMI "/>
    <x v="1"/>
  </r>
  <r>
    <s v="ORD1168"/>
    <d v="2025-01-27T00:00:00"/>
    <s v="C168"/>
    <s v="P168"/>
    <n v="6"/>
    <n v="52000"/>
    <n v="312000"/>
    <n v="0.1"/>
    <n v="31200"/>
    <n v="124800"/>
    <n v="405600"/>
    <n v="93600"/>
    <s v="Kavya Arora"/>
    <x v="5"/>
    <x v="3"/>
    <s v="Gurugram"/>
    <s v="EMI "/>
    <x v="1"/>
  </r>
  <r>
    <s v="ORD1169"/>
    <d v="2025-01-27T00:00:00"/>
    <s v="C169"/>
    <s v="P169"/>
    <n v="6"/>
    <n v="53000"/>
    <n v="318000"/>
    <n v="0.13"/>
    <n v="41340"/>
    <n v="127200"/>
    <n v="403860"/>
    <n v="85860"/>
    <s v="Yash Desai"/>
    <x v="5"/>
    <x v="3"/>
    <s v="Gorakhpur"/>
    <s v="EMI "/>
    <x v="1"/>
  </r>
  <r>
    <s v="ORD1170"/>
    <d v="2025-01-27T00:00:00"/>
    <s v="C170"/>
    <s v="P170"/>
    <n v="7"/>
    <n v="54000"/>
    <n v="378000"/>
    <n v="0.08"/>
    <n v="30240"/>
    <n v="151200"/>
    <n v="498960"/>
    <n v="120960"/>
    <s v="Riya Thakur"/>
    <x v="5"/>
    <x v="3"/>
    <s v="Lucknow"/>
    <s v="EMI "/>
    <x v="1"/>
  </r>
  <r>
    <s v="ORD1171"/>
    <d v="2025-01-27T00:00:00"/>
    <s v="C171"/>
    <s v="P171"/>
    <n v="6"/>
    <n v="55000"/>
    <n v="330000"/>
    <n v="0.04"/>
    <n v="13200"/>
    <n v="132000"/>
    <n v="448800"/>
    <n v="118800"/>
    <s v="Dev Kohli"/>
    <x v="5"/>
    <x v="12"/>
    <s v="Faridabad"/>
    <s v="EMI "/>
    <x v="1"/>
  </r>
  <r>
    <s v="ORD1172"/>
    <d v="2025-01-27T00:00:00"/>
    <s v="C172"/>
    <s v="P172"/>
    <n v="5"/>
    <n v="56000"/>
    <n v="280000"/>
    <n v="0.05"/>
    <n v="14000"/>
    <n v="112000"/>
    <n v="378000"/>
    <n v="98000"/>
    <s v="Nishant Nagar"/>
    <x v="5"/>
    <x v="10"/>
    <s v="Baghpat"/>
    <s v="EMI "/>
    <x v="1"/>
  </r>
  <r>
    <s v="ORD1173"/>
    <d v="2025-01-27T00:00:00"/>
    <s v="C173"/>
    <s v="P173"/>
    <n v="4"/>
    <n v="57000"/>
    <n v="228000"/>
    <n v="0.1"/>
    <n v="22800"/>
    <n v="91200"/>
    <n v="296400"/>
    <n v="68400"/>
    <s v="Siddharth Patel"/>
    <x v="5"/>
    <x v="3"/>
    <s v="Surat"/>
    <s v="EMI "/>
    <x v="1"/>
  </r>
  <r>
    <s v="ORD1174"/>
    <d v="2025-01-27T00:00:00"/>
    <s v="C174"/>
    <s v="P174"/>
    <n v="3"/>
    <n v="58000"/>
    <n v="174000"/>
    <n v="0.12"/>
    <n v="20880"/>
    <n v="69600"/>
    <n v="222720"/>
    <n v="48720"/>
    <s v="Pooja Khanna"/>
    <x v="5"/>
    <x v="19"/>
    <s v="Delhi"/>
    <s v="EMI "/>
    <x v="1"/>
  </r>
  <r>
    <s v="ORD1175"/>
    <d v="2025-01-28T00:00:00"/>
    <s v="C175"/>
    <s v="P175"/>
    <n v="2"/>
    <n v="59000"/>
    <n v="118000"/>
    <n v="0.13"/>
    <n v="15340"/>
    <n v="47200"/>
    <n v="149860"/>
    <n v="31860"/>
    <s v="Varun Khanna"/>
    <x v="5"/>
    <x v="19"/>
    <s v="Delhi"/>
    <s v="EMI "/>
    <x v="1"/>
  </r>
  <r>
    <s v="ORD1176"/>
    <d v="2025-01-28T00:00:00"/>
    <s v="C176"/>
    <s v="P176"/>
    <n v="1"/>
    <n v="60000"/>
    <n v="60000"/>
    <n v="0.15"/>
    <n v="9000"/>
    <n v="24000"/>
    <n v="75000"/>
    <n v="15000"/>
    <s v="Simran Kulkarni"/>
    <x v="2"/>
    <x v="3"/>
    <s v="Nashik"/>
    <s v="EMI "/>
    <x v="1"/>
  </r>
  <r>
    <s v="ORD1177"/>
    <d v="2025-01-28T00:00:00"/>
    <s v="C177"/>
    <s v="P177"/>
    <n v="2"/>
    <n v="61000"/>
    <n v="122000"/>
    <n v="0.2"/>
    <n v="24400"/>
    <n v="48800"/>
    <n v="146400"/>
    <n v="24400"/>
    <s v="Aniket Yadav"/>
    <x v="5"/>
    <x v="8"/>
    <s v="Vadodra"/>
    <s v="EMI "/>
    <x v="1"/>
  </r>
  <r>
    <s v="ORD1178"/>
    <d v="2025-01-28T00:00:00"/>
    <s v="C178"/>
    <s v="P178"/>
    <n v="1"/>
    <n v="62000"/>
    <n v="62000"/>
    <n v="0.2"/>
    <n v="12400"/>
    <n v="24800"/>
    <n v="74400"/>
    <n v="12400"/>
    <s v="Tanvi Mathur"/>
    <x v="2"/>
    <x v="10"/>
    <s v="Nangloi"/>
    <s v="EMI "/>
    <x v="1"/>
  </r>
  <r>
    <s v="ORD1179"/>
    <d v="2025-01-28T00:00:00"/>
    <s v="C179"/>
    <s v="P179"/>
    <n v="1"/>
    <n v="63000"/>
    <n v="63000"/>
    <n v="0.1"/>
    <n v="6300"/>
    <n v="25200"/>
    <n v="81900"/>
    <n v="18900"/>
    <s v="Manav Gupta"/>
    <x v="2"/>
    <x v="8"/>
    <s v="Delhi"/>
    <s v="EMI "/>
    <x v="1"/>
  </r>
  <r>
    <s v="ORD1180"/>
    <d v="2025-01-28T00:00:00"/>
    <s v="C180"/>
    <s v="P180"/>
    <n v="1"/>
    <n v="64000"/>
    <n v="64000"/>
    <n v="0.1"/>
    <n v="6400"/>
    <n v="25600"/>
    <n v="83200"/>
    <n v="19200"/>
    <s v="Shreya Iyer"/>
    <x v="2"/>
    <x v="8"/>
    <s v="Vizag"/>
    <s v="EMI "/>
    <x v="1"/>
  </r>
  <r>
    <s v="ORD1181"/>
    <d v="2025-01-28T00:00:00"/>
    <s v="C181"/>
    <s v="P181"/>
    <n v="1"/>
    <n v="65000"/>
    <n v="65000"/>
    <n v="0.15"/>
    <n v="9750"/>
    <n v="26000"/>
    <n v="81250"/>
    <n v="16250"/>
    <s v="Vivaan Mishra"/>
    <x v="2"/>
    <x v="8"/>
    <s v="Kannauj"/>
    <s v="EMI "/>
    <x v="1"/>
  </r>
  <r>
    <s v="ORD1182"/>
    <d v="2025-01-28T00:00:00"/>
    <s v="C182"/>
    <s v="P182"/>
    <n v="1"/>
    <n v="66000"/>
    <n v="66000"/>
    <n v="0.25"/>
    <n v="16500"/>
    <n v="26400"/>
    <n v="75900"/>
    <n v="9900"/>
    <s v="Avni Pandey"/>
    <x v="2"/>
    <x v="8"/>
    <s v="Varanasi"/>
    <s v="Credit Card"/>
    <x v="1"/>
  </r>
  <r>
    <s v="ORD1183"/>
    <d v="2025-01-28T00:00:00"/>
    <s v="C183"/>
    <s v="P183"/>
    <n v="1"/>
    <n v="67000"/>
    <n v="67000"/>
    <n v="0.1"/>
    <n v="6700"/>
    <n v="26800"/>
    <n v="87100"/>
    <n v="20100"/>
    <s v="Reyansh Srivastava"/>
    <x v="2"/>
    <x v="8"/>
    <s v="Ayodhya"/>
    <s v="Credit Card"/>
    <x v="1"/>
  </r>
  <r>
    <s v="ORD1184"/>
    <d v="2025-01-29T00:00:00"/>
    <s v="C184"/>
    <s v="P184"/>
    <n v="1"/>
    <n v="68000"/>
    <n v="68000"/>
    <n v="0.1"/>
    <n v="6800"/>
    <n v="27200"/>
    <n v="88400"/>
    <n v="20400"/>
    <s v="Myra Dutta"/>
    <x v="2"/>
    <x v="8"/>
    <s v="Gorakhpur"/>
    <s v="Credit Card"/>
    <x v="1"/>
  </r>
  <r>
    <s v="ORD1185"/>
    <d v="2025-01-29T00:00:00"/>
    <s v="C185"/>
    <s v="P185"/>
    <n v="1"/>
    <n v="69000"/>
    <n v="69000"/>
    <n v="0.05"/>
    <n v="3450"/>
    <n v="27600"/>
    <n v="93150"/>
    <n v="24150"/>
    <s v="Krish Sood"/>
    <x v="2"/>
    <x v="8"/>
    <s v="Amritsar"/>
    <s v="Credit Card"/>
    <x v="1"/>
  </r>
  <r>
    <s v="ORD1186"/>
    <d v="2025-01-29T00:00:00"/>
    <s v="C186"/>
    <s v="P186"/>
    <n v="1"/>
    <n v="70000"/>
    <n v="70000"/>
    <n v="0.1"/>
    <n v="7000"/>
    <n v="28000"/>
    <n v="91000"/>
    <n v="21000"/>
    <s v="Kiara Verma"/>
    <x v="2"/>
    <x v="13"/>
    <s v="Panipat"/>
    <s v="EMI "/>
    <x v="1"/>
  </r>
  <r>
    <s v="ORD1187"/>
    <d v="2025-01-29T00:00:00"/>
    <s v="C187"/>
    <s v="P187"/>
    <n v="1"/>
    <n v="71000"/>
    <n v="71000"/>
    <n v="0.05"/>
    <n v="3550"/>
    <n v="28400"/>
    <n v="95850"/>
    <n v="24850"/>
    <s v="Atharv Agarwal"/>
    <x v="2"/>
    <x v="12"/>
    <s v="Sonipat"/>
    <s v="EMI "/>
    <x v="1"/>
  </r>
  <r>
    <s v="ORD1188"/>
    <d v="2025-01-29T00:00:00"/>
    <s v="C188"/>
    <s v="P188"/>
    <n v="1"/>
    <n v="72000"/>
    <n v="72000"/>
    <n v="0.12"/>
    <n v="8640"/>
    <n v="28800"/>
    <n v="92160"/>
    <n v="20160"/>
    <s v="Anika Saxena"/>
    <x v="2"/>
    <x v="3"/>
    <s v="Gurugram"/>
    <s v="EMI "/>
    <x v="1"/>
  </r>
  <r>
    <s v="ORD1189"/>
    <d v="2025-01-29T00:00:00"/>
    <s v="C189"/>
    <s v="P189"/>
    <n v="1"/>
    <n v="73000"/>
    <n v="73000"/>
    <n v="0.15"/>
    <n v="10950"/>
    <n v="29200"/>
    <n v="91250"/>
    <n v="18250"/>
    <s v="Dhruv Tiwari"/>
    <x v="2"/>
    <x v="3"/>
    <s v="Baghpat"/>
    <s v="EMI "/>
    <x v="1"/>
  </r>
  <r>
    <s v="ORD1190"/>
    <d v="2025-01-29T00:00:00"/>
    <s v="C190"/>
    <s v="P190"/>
    <n v="1"/>
    <n v="74000"/>
    <n v="74000"/>
    <n v="0.12"/>
    <n v="8880"/>
    <n v="29600"/>
    <n v="94720"/>
    <n v="20720"/>
    <s v="Saanvi Sinha"/>
    <x v="2"/>
    <x v="3"/>
    <s v="Kanpur"/>
    <s v="EMI "/>
    <x v="1"/>
  </r>
  <r>
    <s v="ORD1191"/>
    <d v="2025-01-30T00:00:00"/>
    <s v="C191"/>
    <s v="P191"/>
    <n v="1"/>
    <n v="75000"/>
    <n v="75000"/>
    <n v="0.15"/>
    <n v="11250"/>
    <n v="30000"/>
    <n v="93750"/>
    <n v="18750"/>
    <s v="Rudra Banerjee"/>
    <x v="2"/>
    <x v="3"/>
    <s v="Kolkata"/>
    <s v="EMI "/>
    <x v="1"/>
  </r>
  <r>
    <s v="ORD1192"/>
    <d v="2025-01-30T00:00:00"/>
    <s v="C192"/>
    <s v="P192"/>
    <n v="1"/>
    <n v="76000"/>
    <n v="76000"/>
    <n v="0.15"/>
    <n v="11400"/>
    <n v="30400"/>
    <n v="95000"/>
    <n v="19000"/>
    <s v="Navya Vohra"/>
    <x v="2"/>
    <x v="3"/>
    <s v="Hampi"/>
    <s v="EMI "/>
    <x v="1"/>
  </r>
  <r>
    <s v="ORD1193"/>
    <d v="2025-01-30T00:00:00"/>
    <s v="C193"/>
    <s v="P193"/>
    <n v="1"/>
    <n v="77000"/>
    <n v="77000"/>
    <n v="0.156"/>
    <n v="12012"/>
    <n v="30800"/>
    <n v="95788"/>
    <n v="18788"/>
    <s v="Ayush Sharma"/>
    <x v="2"/>
    <x v="3"/>
    <s v="Gurugram"/>
    <s v="EMI "/>
    <x v="1"/>
  </r>
  <r>
    <s v="ORD1194"/>
    <d v="2025-01-30T00:00:00"/>
    <s v="C194"/>
    <s v="P194"/>
    <n v="1"/>
    <n v="78000"/>
    <n v="78000"/>
    <n v="0.16200000000000001"/>
    <n v="12636"/>
    <n v="31200"/>
    <n v="96564"/>
    <n v="18564"/>
    <s v="Tanya Bansal"/>
    <x v="2"/>
    <x v="3"/>
    <s v="Noida"/>
    <s v="EMI "/>
    <x v="1"/>
  </r>
  <r>
    <s v="ORD1195"/>
    <d v="2025-01-30T00:00:00"/>
    <s v="C195"/>
    <s v="P195"/>
    <n v="1"/>
    <n v="79000"/>
    <n v="79000"/>
    <n v="0.16800000000000001"/>
    <n v="13272"/>
    <n v="31600"/>
    <n v="97328"/>
    <n v="18328"/>
    <s v="Arnav Chopra"/>
    <x v="2"/>
    <x v="3"/>
    <s v="Delhi"/>
    <s v="EMI "/>
    <x v="1"/>
  </r>
  <r>
    <s v="ORD1196"/>
    <d v="2025-01-30T00:00:00"/>
    <s v="C196"/>
    <s v="P196"/>
    <n v="1"/>
    <n v="80000"/>
    <n v="80000"/>
    <n v="0.17399999999999999"/>
    <n v="13919.999999999998"/>
    <n v="32000"/>
    <n v="98080"/>
    <n v="18080"/>
    <s v="Ira Sethi"/>
    <x v="2"/>
    <x v="3"/>
    <s v="Noida"/>
    <s v="Credit Card"/>
    <x v="1"/>
  </r>
  <r>
    <s v="ORD1197"/>
    <d v="2025-01-31T00:00:00"/>
    <s v="C197"/>
    <s v="P197"/>
    <n v="1"/>
    <n v="81000"/>
    <n v="81000"/>
    <n v="0.18"/>
    <n v="14580"/>
    <n v="32400"/>
    <n v="98820"/>
    <n v="17820"/>
    <s v="Shaurya Jain"/>
    <x v="2"/>
    <x v="3"/>
    <s v="Delhi"/>
    <s v="EMI "/>
    <x v="1"/>
  </r>
  <r>
    <s v="ORD1198"/>
    <d v="2025-01-31T00:00:00"/>
    <s v="C198"/>
    <s v="P198"/>
    <n v="1"/>
    <n v="82000"/>
    <n v="82000"/>
    <n v="0.186"/>
    <n v="15252"/>
    <n v="32800"/>
    <n v="99548"/>
    <n v="17548"/>
    <s v="Mahi Mukherjee"/>
    <x v="2"/>
    <x v="3"/>
    <s v="Gurugram"/>
    <s v="EMI "/>
    <x v="1"/>
  </r>
  <r>
    <s v="ORD1199"/>
    <d v="2025-01-31T00:00:00"/>
    <s v="C199"/>
    <s v="P199"/>
    <n v="1"/>
    <n v="83000"/>
    <n v="83000"/>
    <n v="0.192"/>
    <n v="15936"/>
    <n v="33200"/>
    <n v="100264"/>
    <n v="17264"/>
    <s v="Parth Dubey"/>
    <x v="4"/>
    <x v="3"/>
    <s v="Gurugram"/>
    <s v="EMI "/>
    <x v="1"/>
  </r>
  <r>
    <s v="ORD1200"/>
    <d v="2025-01-31T00:00:00"/>
    <s v="C200"/>
    <s v="P200"/>
    <n v="1"/>
    <n v="84000"/>
    <n v="84000"/>
    <n v="0.01"/>
    <n v="840"/>
    <n v="33600"/>
    <n v="116760"/>
    <n v="32760"/>
    <s v="Aanya Naidu"/>
    <x v="4"/>
    <x v="3"/>
    <s v="Surat"/>
    <s v="EMI "/>
    <x v="1"/>
  </r>
</pivotCacheRecords>
</file>

<file path=xl/pivotCache/pivotCacheRecords1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ORD1001"/>
    <d v="2025-01-12T00:00:00"/>
    <s v="C001"/>
    <s v="P001"/>
    <n v="4"/>
    <n v="899"/>
    <n v="3596"/>
    <n v="0.1"/>
    <n v="359.6"/>
    <n v="1438.4"/>
    <n v="4674.7999999999993"/>
    <n v="1078.7999999999993"/>
    <s v="Aarav Mehta"/>
    <s v="Micro"/>
    <x v="0"/>
    <s v="Agartala"/>
    <s v="Credit Card"/>
    <x v="0"/>
  </r>
  <r>
    <s v="ORD1002"/>
    <d v="2025-01-12T00:00:00"/>
    <s v="C002"/>
    <s v="P002"/>
    <n v="5"/>
    <n v="649"/>
    <n v="3245"/>
    <n v="0.02"/>
    <n v="64.900000000000006"/>
    <n v="1298"/>
    <n v="4478.1000000000004"/>
    <n v="1233.1000000000004"/>
    <s v="Aditi Patel"/>
    <s v="Micro"/>
    <x v="0"/>
    <s v="Agra"/>
    <s v="UPI"/>
    <x v="0"/>
  </r>
  <r>
    <s v="ORD1003"/>
    <d v="2025-01-12T00:00:00"/>
    <s v="C003"/>
    <s v="P003"/>
    <n v="6"/>
    <n v="125"/>
    <n v="750"/>
    <n v="0"/>
    <n v="0"/>
    <n v="300"/>
    <n v="1050"/>
    <n v="300"/>
    <s v="Arjun Khanna"/>
    <s v="Micro"/>
    <x v="0"/>
    <s v="Ahmedabad"/>
    <s v="Cash on delivery"/>
    <x v="0"/>
  </r>
  <r>
    <s v="ORD1004"/>
    <d v="2025-01-12T00:00:00"/>
    <s v="C004"/>
    <s v="P004"/>
    <n v="7"/>
    <n v="199"/>
    <n v="1393"/>
    <n v="0"/>
    <n v="0"/>
    <n v="557.20000000000005"/>
    <n v="1950.2"/>
    <n v="557.20000000000005"/>
    <s v="Ananya Khanna"/>
    <s v="Micro"/>
    <x v="0"/>
    <s v="Aizawl"/>
    <s v="Cash on delivery"/>
    <x v="0"/>
  </r>
  <r>
    <s v="ORD1005"/>
    <d v="2025-01-13T00:00:00"/>
    <s v="C005"/>
    <s v="P005"/>
    <n v="2"/>
    <n v="900"/>
    <n v="1800"/>
    <n v="0.15"/>
    <n v="270"/>
    <n v="720"/>
    <n v="2250"/>
    <n v="450"/>
    <s v="Aditya Kulkarni"/>
    <s v="Micro"/>
    <x v="1"/>
    <s v="Ajmer"/>
    <s v="Cash on delivery"/>
    <x v="0"/>
  </r>
  <r>
    <s v="ORD1006"/>
    <d v="2025-01-13T00:00:00"/>
    <s v="C006"/>
    <s v="P006"/>
    <n v="3"/>
    <n v="1200"/>
    <n v="3600"/>
    <n v="0.15"/>
    <n v="540"/>
    <n v="1440"/>
    <n v="4500"/>
    <n v="900"/>
    <s v="Ishita Yadav"/>
    <s v="Micro"/>
    <x v="2"/>
    <s v="Aligarh "/>
    <s v="Cash on delivery"/>
    <x v="0"/>
  </r>
  <r>
    <s v="ORD1007"/>
    <d v="2025-01-13T00:00:00"/>
    <s v="C007"/>
    <s v="P007"/>
    <n v="4"/>
    <n v="800"/>
    <n v="3200"/>
    <n v="0.15"/>
    <n v="480"/>
    <n v="1280"/>
    <n v="4000"/>
    <n v="800"/>
    <s v="Kabir Mathur"/>
    <s v="Micro"/>
    <x v="3"/>
    <s v="Amravati"/>
    <s v="Cash on delivery"/>
    <x v="0"/>
  </r>
  <r>
    <s v="ORD1008"/>
    <d v="2025-01-13T00:00:00"/>
    <s v="C008"/>
    <s v="P008"/>
    <n v="5"/>
    <n v="700"/>
    <n v="3500"/>
    <n v="0.15"/>
    <n v="525"/>
    <n v="1400"/>
    <n v="4375"/>
    <n v="875"/>
    <s v="Meera Gupta"/>
    <s v="Micro"/>
    <x v="0"/>
    <s v="Amritsar"/>
    <s v="Cash on delivery"/>
    <x v="0"/>
  </r>
  <r>
    <s v="ORD1009"/>
    <d v="2025-01-14T00:00:00"/>
    <s v="C009"/>
    <s v="P009"/>
    <n v="1"/>
    <n v="600"/>
    <n v="600"/>
    <n v="0.15"/>
    <n v="90"/>
    <n v="240"/>
    <n v="750"/>
    <n v="150"/>
    <s v="Rohan Iyer"/>
    <s v="Micro"/>
    <x v="0"/>
    <s v="Aurangabad"/>
    <s v="Cash on delivery"/>
    <x v="0"/>
  </r>
  <r>
    <s v="ORD1010"/>
    <d v="2025-01-14T00:00:00"/>
    <s v="C010"/>
    <s v="P010"/>
    <n v="3"/>
    <n v="3000"/>
    <n v="9000"/>
    <n v="0.15"/>
    <n v="1350"/>
    <n v="3600"/>
    <n v="11250"/>
    <n v="2250"/>
    <s v="Priya Mishra"/>
    <s v="Medium"/>
    <x v="4"/>
    <s v="Bangalore"/>
    <s v="Cash on delivery"/>
    <x v="0"/>
  </r>
  <r>
    <s v="ORD1011"/>
    <d v="2025-01-14T00:00:00"/>
    <s v="C011"/>
    <s v="P011"/>
    <n v="5"/>
    <n v="2500"/>
    <n v="12500"/>
    <n v="0.2"/>
    <n v="2500"/>
    <n v="5000"/>
    <n v="15000"/>
    <n v="2500"/>
    <s v="Rahul Pandey"/>
    <s v="Medium"/>
    <x v="5"/>
    <s v="Bareilly"/>
    <s v="Credit Card"/>
    <x v="1"/>
  </r>
  <r>
    <s v="ORD1012"/>
    <d v="2025-01-14T00:00:00"/>
    <s v="C012"/>
    <s v="P012"/>
    <n v="7"/>
    <n v="2300"/>
    <n v="16100"/>
    <n v="0.2"/>
    <n v="3220"/>
    <n v="6440"/>
    <n v="19320"/>
    <n v="3220"/>
    <s v="Sneha Srivastava"/>
    <s v="Medium"/>
    <x v="6"/>
    <s v="Chandigarh"/>
    <s v="Credit Card"/>
    <x v="0"/>
  </r>
  <r>
    <s v="ORD1013"/>
    <d v="2025-01-14T00:00:00"/>
    <s v="C013"/>
    <s v="P013"/>
    <n v="9"/>
    <n v="2100"/>
    <n v="18900"/>
    <n v="0.2"/>
    <n v="3780"/>
    <n v="7560"/>
    <n v="22680"/>
    <n v="3780"/>
    <s v="Vihaan Dutta"/>
    <s v="Medium"/>
    <x v="6"/>
    <s v="Chennai"/>
    <s v="Credit Card"/>
    <x v="1"/>
  </r>
  <r>
    <s v="ORD1014"/>
    <d v="2025-01-14T00:00:00"/>
    <s v="C014"/>
    <s v="P014"/>
    <n v="11"/>
    <n v="1900"/>
    <n v="20900"/>
    <n v="0.2"/>
    <n v="4180"/>
    <n v="8360"/>
    <n v="25080"/>
    <n v="4180"/>
    <s v="Diya Sood"/>
    <s v="Medium"/>
    <x v="7"/>
    <s v="Coimbatore"/>
    <s v="Credit Card"/>
    <x v="1"/>
  </r>
  <r>
    <s v="ORD1015"/>
    <d v="2025-01-14T00:00:00"/>
    <s v="C015"/>
    <s v="P015"/>
    <n v="13"/>
    <n v="250"/>
    <n v="3250"/>
    <n v="0.2"/>
    <n v="650"/>
    <n v="1300"/>
    <n v="3900"/>
    <n v="650"/>
    <s v="Karan Verma"/>
    <s v="Micro"/>
    <x v="7"/>
    <s v="Dehradun"/>
    <s v="Credit Card"/>
    <x v="0"/>
  </r>
  <r>
    <s v="ORD1016"/>
    <d v="2025-01-14T00:00:00"/>
    <s v="C016"/>
    <s v="P016"/>
    <n v="15"/>
    <n v="1300"/>
    <n v="19500"/>
    <n v="0.2"/>
    <n v="3900"/>
    <n v="7800"/>
    <n v="23400"/>
    <n v="3900"/>
    <s v="Neha Agarwal"/>
    <s v="Medium"/>
    <x v="7"/>
    <s v="Dharamshala"/>
    <s v="Credit Card"/>
    <x v="1"/>
  </r>
  <r>
    <s v="ORD1017"/>
    <d v="2025-01-14T00:00:00"/>
    <s v="C017"/>
    <s v="P017"/>
    <n v="17"/>
    <n v="3100"/>
    <n v="52700"/>
    <n v="0.2"/>
    <n v="10540"/>
    <n v="21080"/>
    <n v="63240"/>
    <n v="10540"/>
    <s v="Aryan Saxena"/>
    <s v="Large"/>
    <x v="7"/>
    <s v="Faridabad"/>
    <s v="Credit Card"/>
    <x v="0"/>
  </r>
  <r>
    <s v="ORD1018"/>
    <d v="2025-01-14T00:00:00"/>
    <s v="C018"/>
    <s v="P018"/>
    <n v="19"/>
    <n v="1200"/>
    <n v="22800"/>
    <n v="0.2"/>
    <n v="4560"/>
    <n v="9120"/>
    <n v="27360"/>
    <n v="4560"/>
    <s v="Kavya Tiwari"/>
    <s v="Medium"/>
    <x v="8"/>
    <s v="Kanpur"/>
    <s v="Credit Card"/>
    <x v="1"/>
  </r>
  <r>
    <s v="ORD1019"/>
    <d v="2025-01-14T00:00:00"/>
    <s v="C019"/>
    <s v="P019"/>
    <n v="21"/>
    <n v="1100"/>
    <n v="23100"/>
    <n v="0.2"/>
    <n v="4620"/>
    <n v="9240"/>
    <n v="27720"/>
    <n v="4620"/>
    <s v="Yash Sinha"/>
    <s v="Medium"/>
    <x v="9"/>
    <s v="Gurugram"/>
    <s v="Credit Card"/>
    <x v="1"/>
  </r>
  <r>
    <s v="ORD1020"/>
    <d v="2025-01-14T00:00:00"/>
    <s v="C020"/>
    <s v="P020"/>
    <n v="5"/>
    <n v="2000"/>
    <n v="10000"/>
    <n v="0.1"/>
    <n v="1000"/>
    <n v="4000"/>
    <n v="13000"/>
    <n v="3000"/>
    <s v="Riya Banerjee"/>
    <s v="Medium"/>
    <x v="10"/>
    <s v="Kolkata"/>
    <s v="Credit Card"/>
    <x v="1"/>
  </r>
  <r>
    <s v="ORD1021"/>
    <d v="2025-01-15T00:00:00"/>
    <s v="C021"/>
    <s v="P021"/>
    <n v="3"/>
    <n v="3000"/>
    <n v="9000"/>
    <n v="0.05"/>
    <n v="450"/>
    <n v="3600"/>
    <n v="12150"/>
    <n v="3150"/>
    <s v="Dev Vohra"/>
    <s v="Medium"/>
    <x v="11"/>
    <s v="Amravati"/>
    <s v="Buy Now Pay later"/>
    <x v="0"/>
  </r>
  <r>
    <s v="ORD1022"/>
    <d v="2025-01-15T00:00:00"/>
    <s v="C022"/>
    <s v="P022"/>
    <n v="2"/>
    <n v="200"/>
    <n v="400"/>
    <n v="0"/>
    <n v="0"/>
    <n v="160"/>
    <n v="560"/>
    <n v="160"/>
    <s v="Nisha Sharma"/>
    <s v="Micro"/>
    <x v="3"/>
    <s v="Rohtak"/>
    <s v="Cash on delivery"/>
    <x v="0"/>
  </r>
  <r>
    <s v="ORD1023"/>
    <d v="2025-01-15T00:00:00"/>
    <s v="C023"/>
    <s v="P023"/>
    <n v="1"/>
    <n v="8000"/>
    <n v="8000"/>
    <n v="0.08"/>
    <n v="640"/>
    <n v="3200"/>
    <n v="10560"/>
    <n v="2560"/>
    <s v="Siddharth Bansal"/>
    <s v="Medium"/>
    <x v="3"/>
    <s v="Jind"/>
    <s v="Credit Card"/>
    <x v="1"/>
  </r>
  <r>
    <s v="ORD1024"/>
    <d v="2025-01-15T00:00:00"/>
    <s v="C024"/>
    <s v="P024"/>
    <n v="4"/>
    <n v="1250"/>
    <n v="5000"/>
    <n v="0.02"/>
    <n v="100"/>
    <n v="2000"/>
    <n v="6900"/>
    <n v="1900"/>
    <s v="Pooja Chopra"/>
    <s v="Small"/>
    <x v="3"/>
    <s v="Rohtak"/>
    <s v="Cash on delivery"/>
    <x v="1"/>
  </r>
  <r>
    <s v="ORD1025"/>
    <d v="2025-01-15T00:00:00"/>
    <s v="C025"/>
    <s v="P025"/>
    <n v="2"/>
    <n v="3000"/>
    <n v="6000"/>
    <n v="0.05"/>
    <n v="300"/>
    <n v="2400"/>
    <n v="8100"/>
    <n v="2100"/>
    <s v="Varun Sethi"/>
    <s v="Small"/>
    <x v="8"/>
    <s v="Gurugram"/>
    <s v="Credit Card"/>
    <x v="1"/>
  </r>
  <r>
    <s v="ORD1026"/>
    <d v="2025-01-16T00:00:00"/>
    <s v="C026"/>
    <s v="P026"/>
    <n v="4"/>
    <n v="4000"/>
    <n v="16000"/>
    <n v="0.1"/>
    <n v="1600"/>
    <n v="6400"/>
    <n v="20800"/>
    <n v="4800"/>
    <s v="Simran Jain"/>
    <s v="Medium"/>
    <x v="6"/>
    <s v="Faridabad"/>
    <s v="Buy Now Pay later"/>
    <x v="1"/>
  </r>
  <r>
    <s v="ORD1027"/>
    <d v="2025-01-17T00:00:00"/>
    <s v="C027"/>
    <s v="P027"/>
    <n v="2"/>
    <n v="5000"/>
    <n v="10000"/>
    <n v="0"/>
    <n v="0"/>
    <n v="4000"/>
    <n v="14000"/>
    <n v="4000"/>
    <s v="Aniket Mukherjee"/>
    <s v="Medium"/>
    <x v="12"/>
    <s v="Gurugram"/>
    <s v="Credit Card"/>
    <x v="0"/>
  </r>
  <r>
    <s v="ORD1028"/>
    <d v="2025-01-18T00:00:00"/>
    <s v="C028"/>
    <s v="P028"/>
    <n v="6"/>
    <n v="6000"/>
    <n v="36000"/>
    <n v="0.25"/>
    <n v="9000"/>
    <n v="14400"/>
    <n v="41400"/>
    <n v="5400"/>
    <s v="Tanvi Dubey"/>
    <s v="Large"/>
    <x v="4"/>
    <s v="Gurugram"/>
    <s v="EMI "/>
    <x v="0"/>
  </r>
  <r>
    <s v="ORD1029"/>
    <d v="2025-01-19T00:00:00"/>
    <s v="C029"/>
    <s v="P029"/>
    <n v="3"/>
    <n v="12000"/>
    <n v="36000"/>
    <n v="0.1"/>
    <n v="3600"/>
    <n v="14400"/>
    <n v="46800"/>
    <n v="10800"/>
    <s v="Manav Naidu"/>
    <s v="Large"/>
    <x v="13"/>
    <s v="Bangalore"/>
    <s v="Buy Now Pay later"/>
    <x v="1"/>
  </r>
  <r>
    <s v="ORD1030"/>
    <d v="2025-01-20T00:00:00"/>
    <s v="C030"/>
    <s v="P030"/>
    <n v="2"/>
    <n v="15000"/>
    <n v="30000"/>
    <n v="0.25"/>
    <n v="7500"/>
    <n v="12000"/>
    <n v="34500"/>
    <n v="4500"/>
    <s v="Shreya Malhotra"/>
    <s v="Large"/>
    <x v="1"/>
    <s v="Bangalore"/>
    <s v="EMI "/>
    <x v="1"/>
  </r>
  <r>
    <s v="ORD1031"/>
    <d v="2025-01-21T00:00:00"/>
    <s v="C031"/>
    <s v="P031"/>
    <n v="1"/>
    <n v="31000"/>
    <n v="31000"/>
    <n v="0.25"/>
    <n v="7750"/>
    <n v="12400"/>
    <n v="35650"/>
    <n v="4650"/>
    <s v="Vivaan Joshi"/>
    <s v="Large"/>
    <x v="3"/>
    <s v="Delhi"/>
    <s v="EMI "/>
    <x v="1"/>
  </r>
  <r>
    <s v="ORD1032"/>
    <d v="2025-01-22T00:00:00"/>
    <s v="C032"/>
    <s v="P032"/>
    <n v="7"/>
    <n v="700"/>
    <n v="4900"/>
    <n v="0.05"/>
    <n v="245"/>
    <n v="1960"/>
    <n v="6615"/>
    <n v="1715"/>
    <s v="Avni Chawla"/>
    <s v="Small"/>
    <x v="14"/>
    <s v="Delhi"/>
    <s v="Cash on delivery"/>
    <x v="0"/>
  </r>
  <r>
    <s v="ORD1033"/>
    <d v="2025-01-22T00:00:00"/>
    <s v="C033"/>
    <s v="P033"/>
    <n v="8"/>
    <n v="1000"/>
    <n v="8000"/>
    <n v="0.05"/>
    <n v="400"/>
    <n v="3200"/>
    <n v="10800"/>
    <n v="2800"/>
    <s v="Reyansh Goyal"/>
    <s v="Medium"/>
    <x v="3"/>
    <s v="Delhi"/>
    <s v="Credit Card"/>
    <x v="0"/>
  </r>
  <r>
    <s v="ORD1034"/>
    <d v="2025-01-22T00:00:00"/>
    <s v="C034"/>
    <s v="P034"/>
    <n v="9"/>
    <n v="900"/>
    <n v="8100"/>
    <n v="0"/>
    <n v="0"/>
    <n v="3240"/>
    <n v="11340"/>
    <n v="3240"/>
    <s v="Myra Pillai"/>
    <s v="Medium"/>
    <x v="3"/>
    <s v="Delhi"/>
    <s v="Credit Card"/>
    <x v="1"/>
  </r>
  <r>
    <s v="ORD1035"/>
    <d v="2025-01-23T00:00:00"/>
    <s v="C035"/>
    <s v="P035"/>
    <n v="10"/>
    <n v="10000"/>
    <n v="100000"/>
    <n v="0.15"/>
    <n v="15000"/>
    <n v="40000"/>
    <n v="125000"/>
    <n v="25000"/>
    <s v="Krish Tripathi"/>
    <s v="Industrial"/>
    <x v="3"/>
    <s v="Delhi"/>
    <s v="Credit Card"/>
    <x v="1"/>
  </r>
  <r>
    <s v="ORD1036"/>
    <d v="2025-01-23T00:00:00"/>
    <s v="C036"/>
    <s v="P036"/>
    <n v="11"/>
    <n v="1200"/>
    <n v="13200"/>
    <n v="0.1"/>
    <n v="1320"/>
    <n v="5280"/>
    <n v="17160"/>
    <n v="3960"/>
    <s v="Kiara Bhatt"/>
    <s v="Medium"/>
    <x v="11"/>
    <s v="Delhi"/>
    <s v="Credit Card"/>
    <x v="1"/>
  </r>
  <r>
    <s v="ORD1037"/>
    <d v="2025-01-23T00:00:00"/>
    <s v="C037"/>
    <s v="P037"/>
    <n v="12"/>
    <n v="2400"/>
    <n v="28800"/>
    <n v="0.12"/>
    <n v="3456"/>
    <n v="11520"/>
    <n v="36864"/>
    <n v="8064"/>
    <s v="Atharv Kapoor"/>
    <s v="Large"/>
    <x v="11"/>
    <s v="Delhi"/>
    <s v="Credit Card"/>
    <x v="0"/>
  </r>
  <r>
    <s v="ORD1038"/>
    <d v="2025-01-23T00:00:00"/>
    <s v="C038"/>
    <s v="P038"/>
    <n v="13"/>
    <n v="2600"/>
    <n v="33800"/>
    <n v="0.14000000000000001"/>
    <n v="4732"/>
    <n v="13520"/>
    <n v="42588"/>
    <n v="8788"/>
    <s v="Anika Nair"/>
    <s v="Large"/>
    <x v="3"/>
    <s v="Delhi"/>
    <s v="Credit Card"/>
    <x v="0"/>
  </r>
  <r>
    <s v="ORD1039"/>
    <d v="2025-01-23T00:00:00"/>
    <s v="C039"/>
    <s v="P039"/>
    <n v="14"/>
    <n v="2800"/>
    <n v="39200"/>
    <n v="0.16"/>
    <n v="6272"/>
    <n v="15680"/>
    <n v="48608"/>
    <n v="9408"/>
    <s v="Dhruv Rao"/>
    <s v="Large"/>
    <x v="15"/>
    <s v="Delhi"/>
    <s v="Credit Card"/>
    <x v="0"/>
  </r>
  <r>
    <s v="ORD1040"/>
    <d v="2025-01-23T00:00:00"/>
    <s v="C040"/>
    <s v="P040"/>
    <n v="11"/>
    <n v="1175"/>
    <n v="12925"/>
    <n v="0.1"/>
    <n v="1292.5"/>
    <n v="5170"/>
    <n v="16802.5"/>
    <n v="3877.5"/>
    <s v="Saanvi Bhatia"/>
    <s v="Medium"/>
    <x v="7"/>
    <s v="Delhi"/>
    <s v="Credit Card"/>
    <x v="0"/>
  </r>
  <r>
    <s v="ORD1041"/>
    <d v="2025-01-24T00:00:00"/>
    <s v="C041"/>
    <s v="P041"/>
    <n v="1"/>
    <n v="45000"/>
    <n v="45000"/>
    <n v="0.25"/>
    <n v="11250"/>
    <n v="18000"/>
    <n v="51750"/>
    <n v="6750"/>
    <s v="Rudra Menon"/>
    <s v="Large"/>
    <x v="13"/>
    <s v="Delhi"/>
    <s v="Credit Card"/>
    <x v="0"/>
  </r>
  <r>
    <s v="ORD1042"/>
    <d v="2025-01-24T00:00:00"/>
    <s v="C042"/>
    <s v="P042"/>
    <n v="2"/>
    <n v="70000"/>
    <n v="140000"/>
    <n v="0.25"/>
    <n v="35000"/>
    <n v="56000"/>
    <n v="161000"/>
    <n v="21000"/>
    <s v="Navya Shukla"/>
    <s v="Wholesale"/>
    <x v="6"/>
    <s v="Gurugram"/>
    <s v="EMI "/>
    <x v="0"/>
  </r>
  <r>
    <s v="ORD1043"/>
    <d v="2025-01-24T00:00:00"/>
    <s v="C043"/>
    <s v="P043"/>
    <n v="3"/>
    <n v="13000"/>
    <n v="39000"/>
    <n v="0.1"/>
    <n v="3900"/>
    <n v="15600"/>
    <n v="50700"/>
    <n v="11700"/>
    <s v="Ayush Ahuja"/>
    <s v="Large"/>
    <x v="6"/>
    <s v="Gurugram"/>
    <s v="No Cost EMI"/>
    <x v="0"/>
  </r>
  <r>
    <s v="ORD1044"/>
    <d v="2025-01-24T00:00:00"/>
    <s v="C044"/>
    <s v="P044"/>
    <n v="14"/>
    <n v="14000"/>
    <n v="196000"/>
    <n v="0.15"/>
    <n v="29400"/>
    <n v="78400"/>
    <n v="245000"/>
    <n v="49000"/>
    <s v="Tanya Singh"/>
    <s v="Wholesale"/>
    <x v="3"/>
    <s v="Gurugram"/>
    <s v="Credit Card"/>
    <x v="0"/>
  </r>
  <r>
    <s v="ORD1045"/>
    <d v="2025-01-24T00:00:00"/>
    <s v="C045"/>
    <s v="P045"/>
    <n v="10"/>
    <n v="25000"/>
    <n v="250000"/>
    <n v="0.2"/>
    <n v="50000"/>
    <n v="100000"/>
    <n v="300000"/>
    <n v="50000"/>
    <s v="Arnav Reddy"/>
    <s v="Wholesale"/>
    <x v="3"/>
    <s v="Gurugram"/>
    <s v="Credit Card"/>
    <x v="0"/>
  </r>
  <r>
    <s v="ORD1046"/>
    <d v="2025-01-24T00:00:00"/>
    <s v="C046"/>
    <s v="P046"/>
    <n v="9"/>
    <n v="1500"/>
    <n v="13500"/>
    <n v="0"/>
    <n v="0"/>
    <n v="5400"/>
    <n v="18900"/>
    <n v="5400"/>
    <s v="Ira Das"/>
    <s v="Medium"/>
    <x v="3"/>
    <s v="Gurugram"/>
    <s v="Cash on delivery"/>
    <x v="0"/>
  </r>
  <r>
    <s v="ORD1047"/>
    <d v="2025-01-24T00:00:00"/>
    <s v="C047"/>
    <s v="P047"/>
    <n v="8"/>
    <n v="1000"/>
    <n v="8000"/>
    <n v="0"/>
    <n v="0"/>
    <n v="3200"/>
    <n v="11200"/>
    <n v="3200"/>
    <s v="Shaurya Arora"/>
    <s v="Medium"/>
    <x v="3"/>
    <s v="Gurugram"/>
    <s v="Cash on delivery"/>
    <x v="0"/>
  </r>
  <r>
    <s v="ORD1048"/>
    <d v="2025-01-24T00:00:00"/>
    <s v="C048"/>
    <s v="P048"/>
    <n v="7"/>
    <n v="1350"/>
    <n v="9450"/>
    <n v="0"/>
    <n v="0"/>
    <n v="3780"/>
    <n v="13230"/>
    <n v="3780"/>
    <s v="Mahi Desai"/>
    <s v="Medium"/>
    <x v="4"/>
    <s v="Gurugram"/>
    <s v="Cash on delivery"/>
    <x v="0"/>
  </r>
  <r>
    <s v="ORD1049"/>
    <d v="2025-01-24T00:00:00"/>
    <s v="C049"/>
    <s v="P049"/>
    <n v="5"/>
    <n v="2500"/>
    <n v="12500"/>
    <n v="0"/>
    <n v="0"/>
    <n v="5000"/>
    <n v="17500"/>
    <n v="5000"/>
    <s v="Parth Thakur"/>
    <s v="Medium"/>
    <x v="0"/>
    <s v="Gurugram"/>
    <s v="Cash on delivery"/>
    <x v="0"/>
  </r>
  <r>
    <s v="ORD1050"/>
    <d v="2025-01-24T00:00:00"/>
    <s v="C050"/>
    <s v="P050"/>
    <n v="4"/>
    <n v="4000"/>
    <n v="16000"/>
    <n v="0"/>
    <n v="0"/>
    <n v="6400"/>
    <n v="22400"/>
    <n v="6400"/>
    <s v="Aanya Kohli"/>
    <s v="Medium"/>
    <x v="12"/>
    <s v="Gurugram"/>
    <s v="Cash on delivery"/>
    <x v="0"/>
  </r>
  <r>
    <s v="ORD1051"/>
    <d v="2025-01-24T00:00:00"/>
    <s v="C051"/>
    <s v="P051"/>
    <n v="3"/>
    <n v="3000"/>
    <n v="9000"/>
    <n v="0.05"/>
    <n v="450"/>
    <n v="3600"/>
    <n v="12150"/>
    <n v="3150"/>
    <s v="Aarav Singh"/>
    <s v="Medium"/>
    <x v="6"/>
    <s v="Gurugram"/>
    <s v="Credit Card"/>
    <x v="0"/>
  </r>
  <r>
    <s v="ORD1052"/>
    <d v="2025-01-24T00:00:00"/>
    <s v="C052"/>
    <s v="P052"/>
    <n v="2"/>
    <n v="30000"/>
    <n v="60000"/>
    <n v="0.1"/>
    <n v="6000"/>
    <n v="24000"/>
    <n v="78000"/>
    <n v="18000"/>
    <s v="Aditi Reddy"/>
    <s v="Large"/>
    <x v="3"/>
    <s v="Gurugram"/>
    <s v="Credit Card"/>
    <x v="1"/>
  </r>
  <r>
    <s v="ORD1053"/>
    <d v="2025-01-24T00:00:00"/>
    <s v="C053"/>
    <s v="P053"/>
    <n v="1"/>
    <n v="15000"/>
    <n v="15000"/>
    <n v="7.0000000000000007E-2"/>
    <n v="1050"/>
    <n v="6000"/>
    <n v="19950"/>
    <n v="4950"/>
    <s v="Arjun Das"/>
    <s v="Medium"/>
    <x v="3"/>
    <s v="Gurugram"/>
    <s v="EMI "/>
    <x v="1"/>
  </r>
  <r>
    <s v="ORD1054"/>
    <d v="2025-01-24T00:00:00"/>
    <s v="C054"/>
    <s v="P054"/>
    <n v="11"/>
    <n v="800"/>
    <n v="8800"/>
    <n v="0.05"/>
    <n v="440"/>
    <n v="3520"/>
    <n v="11880"/>
    <n v="3080"/>
    <s v="Ananya Arora"/>
    <s v="Medium"/>
    <x v="3"/>
    <s v="Gurugram"/>
    <s v="Credit Card"/>
    <x v="0"/>
  </r>
  <r>
    <s v="ORD1055"/>
    <d v="2025-01-24T00:00:00"/>
    <s v="C055"/>
    <s v="P055"/>
    <n v="12"/>
    <n v="1000"/>
    <n v="12000"/>
    <n v="0.1"/>
    <n v="1200"/>
    <n v="4800"/>
    <n v="15600"/>
    <n v="3600"/>
    <s v="Aditya Desai"/>
    <s v="Medium"/>
    <x v="3"/>
    <s v="Gurugram"/>
    <s v="Credit Card"/>
    <x v="0"/>
  </r>
  <r>
    <s v="ORD1056"/>
    <d v="2025-01-24T00:00:00"/>
    <s v="C056"/>
    <s v="P056"/>
    <n v="12"/>
    <n v="1200"/>
    <n v="14400"/>
    <n v="7.0000000000000007E-2"/>
    <n v="1008.0000000000001"/>
    <n v="5760"/>
    <n v="19152"/>
    <n v="4752"/>
    <s v="Ishita Thakur"/>
    <s v="Medium"/>
    <x v="3"/>
    <s v="Gurugram"/>
    <s v="EMI "/>
    <x v="0"/>
  </r>
  <r>
    <s v="ORD1057"/>
    <d v="2025-01-24T00:00:00"/>
    <s v="C057"/>
    <s v="P057"/>
    <n v="13"/>
    <n v="3600"/>
    <n v="46800"/>
    <n v="0.25"/>
    <n v="11700"/>
    <n v="18720"/>
    <n v="53820"/>
    <n v="7020"/>
    <s v="Kabir Kohli"/>
    <s v="Large"/>
    <x v="3"/>
    <s v="Gurugram"/>
    <s v="Credit Card"/>
    <x v="1"/>
  </r>
  <r>
    <s v="ORD1058"/>
    <d v="2025-01-24T00:00:00"/>
    <s v="C058"/>
    <s v="P058"/>
    <n v="14"/>
    <n v="4500"/>
    <n v="63000"/>
    <n v="0.05"/>
    <n v="3150"/>
    <n v="25200"/>
    <n v="85050"/>
    <n v="22050"/>
    <s v="Meera Mehta"/>
    <s v="Large"/>
    <x v="11"/>
    <s v="Gurugram"/>
    <s v="No Cost EMI"/>
    <x v="1"/>
  </r>
  <r>
    <s v="ORD1059"/>
    <d v="2025-01-24T00:00:00"/>
    <s v="C059"/>
    <s v="P059"/>
    <n v="15"/>
    <n v="2500"/>
    <n v="37500"/>
    <n v="0.12"/>
    <n v="4500"/>
    <n v="15000"/>
    <n v="48000"/>
    <n v="10500"/>
    <s v="Rohan Patel"/>
    <s v="Large"/>
    <x v="16"/>
    <s v="Gurugram"/>
    <s v="Buy Now Pay later"/>
    <x v="0"/>
  </r>
  <r>
    <s v="ORD1060"/>
    <d v="2025-01-24T00:00:00"/>
    <s v="C060"/>
    <s v="P060"/>
    <n v="16"/>
    <n v="1525"/>
    <n v="24400"/>
    <n v="0.15"/>
    <n v="3660"/>
    <n v="9760"/>
    <n v="30500"/>
    <n v="6100"/>
    <s v="Priya Khan"/>
    <s v="Large"/>
    <x v="7"/>
    <s v="Gurugram"/>
    <s v="Buy Now Pay later"/>
    <x v="1"/>
  </r>
  <r>
    <s v="ORD1061"/>
    <d v="2025-01-24T00:00:00"/>
    <s v="C061"/>
    <s v="P061"/>
    <n v="1"/>
    <n v="85000"/>
    <n v="85000"/>
    <n v="0.05"/>
    <n v="4250"/>
    <n v="34000"/>
    <n v="114750"/>
    <n v="29750"/>
    <s v="Rahul Khanna"/>
    <s v="Industrial"/>
    <x v="3"/>
    <s v="Gurugram"/>
    <s v="Credit Card"/>
    <x v="0"/>
  </r>
  <r>
    <s v="ORD1062"/>
    <d v="2025-01-24T00:00:00"/>
    <s v="C062"/>
    <s v="P062"/>
    <n v="17"/>
    <n v="500"/>
    <n v="8500"/>
    <n v="0.05"/>
    <n v="425"/>
    <n v="3400"/>
    <n v="11475"/>
    <n v="2975"/>
    <s v="Sneha Kulkarni"/>
    <s v="Medium"/>
    <x v="0"/>
    <s v="Gurugram"/>
    <s v="Cash on delivery"/>
    <x v="1"/>
  </r>
  <r>
    <s v="ORD1063"/>
    <d v="2025-01-24T00:00:00"/>
    <s v="C063"/>
    <s v="P063"/>
    <n v="18"/>
    <n v="800"/>
    <n v="14400"/>
    <n v="0.05"/>
    <n v="720"/>
    <n v="5760"/>
    <n v="19440"/>
    <n v="5040"/>
    <s v="Vihaan Yadav"/>
    <s v="Medium"/>
    <x v="3"/>
    <s v="Gurugram"/>
    <s v="Cash on delivery"/>
    <x v="1"/>
  </r>
  <r>
    <s v="ORD1064"/>
    <d v="2025-01-24T00:00:00"/>
    <s v="C064"/>
    <s v="P064"/>
    <n v="18"/>
    <n v="1000"/>
    <n v="18000"/>
    <n v="0.05"/>
    <n v="900"/>
    <n v="7200"/>
    <n v="24300"/>
    <n v="6300"/>
    <s v="Diya Mathur"/>
    <s v="Medium"/>
    <x v="3"/>
    <s v="Gurugram"/>
    <s v="Credit Card"/>
    <x v="1"/>
  </r>
  <r>
    <s v="ORD1065"/>
    <d v="2025-01-24T00:00:00"/>
    <s v="C065"/>
    <s v="P065"/>
    <n v="2"/>
    <n v="30000"/>
    <n v="60000"/>
    <n v="0.1"/>
    <n v="6000"/>
    <n v="24000"/>
    <n v="78000"/>
    <n v="18000"/>
    <s v="Karan Gupta"/>
    <s v="Large"/>
    <x v="3"/>
    <s v="Gurugram"/>
    <s v="No Cost EMI"/>
    <x v="1"/>
  </r>
  <r>
    <s v="ORD1066"/>
    <d v="2025-01-24T00:00:00"/>
    <s v="C066"/>
    <s v="P066"/>
    <n v="3"/>
    <n v="4000"/>
    <n v="12000"/>
    <n v="0.1"/>
    <n v="1200"/>
    <n v="4800"/>
    <n v="15600"/>
    <n v="3600"/>
    <s v="Neha Iyer"/>
    <s v="Medium"/>
    <x v="3"/>
    <s v="Kochi"/>
    <s v="Credit Card"/>
    <x v="1"/>
  </r>
  <r>
    <s v="ORD1067"/>
    <d v="2025-01-24T00:00:00"/>
    <s v="C067"/>
    <s v="P067"/>
    <n v="4"/>
    <n v="5000"/>
    <n v="20000"/>
    <n v="0.1"/>
    <n v="2000"/>
    <n v="8000"/>
    <n v="26000"/>
    <n v="6000"/>
    <s v="Aryan Mishra"/>
    <s v="Medium"/>
    <x v="7"/>
    <s v="Coimbatore"/>
    <s v="Credit Card"/>
    <x v="1"/>
  </r>
  <r>
    <s v="ORD1068"/>
    <d v="2025-01-24T00:00:00"/>
    <s v="C068"/>
    <s v="P068"/>
    <n v="5"/>
    <n v="6000"/>
    <n v="30000"/>
    <n v="0.1"/>
    <n v="3000"/>
    <n v="12000"/>
    <n v="39000"/>
    <n v="9000"/>
    <s v="Kavya Pandey"/>
    <s v="Large"/>
    <x v="6"/>
    <s v="Kanpur"/>
    <s v="Credit Card"/>
    <x v="1"/>
  </r>
  <r>
    <s v="ORD1069"/>
    <d v="2025-01-24T00:00:00"/>
    <s v="C069"/>
    <s v="P069"/>
    <n v="6"/>
    <n v="1000"/>
    <n v="6000"/>
    <n v="0.05"/>
    <n v="300"/>
    <n v="2400"/>
    <n v="8100"/>
    <n v="2100"/>
    <s v="Yash Srivastava"/>
    <s v="Small"/>
    <x v="6"/>
    <s v="Kanpur"/>
    <s v="Cash on delivery"/>
    <x v="1"/>
  </r>
  <r>
    <s v="ORD1070"/>
    <d v="2025-01-24T00:00:00"/>
    <s v="C070"/>
    <s v="P070"/>
    <n v="7"/>
    <n v="800"/>
    <n v="5600"/>
    <n v="0.05"/>
    <n v="280"/>
    <n v="2240"/>
    <n v="7560"/>
    <n v="1960"/>
    <s v="Riya Dutta"/>
    <s v="Small"/>
    <x v="6"/>
    <s v="Lavasa"/>
    <s v="Cash on delivery"/>
    <x v="1"/>
  </r>
  <r>
    <s v="ORD1071"/>
    <d v="2025-01-24T00:00:00"/>
    <s v="C071"/>
    <s v="P071"/>
    <n v="8"/>
    <n v="200"/>
    <n v="1600"/>
    <n v="0"/>
    <n v="0"/>
    <n v="640"/>
    <n v="2240"/>
    <n v="640"/>
    <s v="Dev Sood"/>
    <s v="Micro"/>
    <x v="0"/>
    <s v="Ludhiana"/>
    <s v="Cash on delivery"/>
    <x v="1"/>
  </r>
  <r>
    <s v="ORD1072"/>
    <d v="2025-01-24T00:00:00"/>
    <s v="C072"/>
    <s v="P072"/>
    <n v="9"/>
    <n v="4590"/>
    <n v="41310"/>
    <n v="0.2"/>
    <n v="8262"/>
    <n v="16524"/>
    <n v="49572"/>
    <n v="8262"/>
    <s v="Nisha Verma"/>
    <s v="Large"/>
    <x v="8"/>
    <s v="Ahmedabad"/>
    <s v="Cash on delivery"/>
    <x v="1"/>
  </r>
  <r>
    <s v="ORD1073"/>
    <d v="2025-01-24T00:00:00"/>
    <s v="C073"/>
    <s v="P073"/>
    <n v="10"/>
    <n v="1375"/>
    <n v="13750"/>
    <n v="0"/>
    <n v="0"/>
    <n v="5500"/>
    <n v="19250"/>
    <n v="5500"/>
    <s v="Siddharth Agarwal"/>
    <s v="Medium"/>
    <x v="0"/>
    <s v="Faridabad"/>
    <s v="Cash on delivery"/>
    <x v="1"/>
  </r>
  <r>
    <s v="ORD1074"/>
    <d v="2025-01-24T00:00:00"/>
    <s v="C074"/>
    <s v="P074"/>
    <n v="1"/>
    <n v="30000"/>
    <n v="30000"/>
    <n v="0.05"/>
    <n v="1500"/>
    <n v="12000"/>
    <n v="40500"/>
    <n v="10500"/>
    <s v="Pooja Saxena"/>
    <s v="Large"/>
    <x v="3"/>
    <s v="Noida"/>
    <s v="Cash on delivery"/>
    <x v="1"/>
  </r>
  <r>
    <s v="ORD1075"/>
    <d v="2025-01-24T00:00:00"/>
    <s v="C075"/>
    <s v="P075"/>
    <n v="2"/>
    <n v="14000"/>
    <n v="28000"/>
    <n v="0"/>
    <n v="0"/>
    <n v="11200"/>
    <n v="39200"/>
    <n v="11200"/>
    <s v="Varun Tiwari"/>
    <s v="Large"/>
    <x v="3"/>
    <s v="Meerut"/>
    <s v="Cash on delivery"/>
    <x v="1"/>
  </r>
  <r>
    <s v="ORD1076"/>
    <d v="2025-01-24T00:00:00"/>
    <s v="C076"/>
    <s v="P076"/>
    <n v="3"/>
    <n v="1000"/>
    <n v="3000"/>
    <n v="0"/>
    <n v="0"/>
    <n v="1200"/>
    <n v="4200"/>
    <n v="1200"/>
    <s v="Simran Sinha"/>
    <s v="Micro"/>
    <x v="17"/>
    <s v="Patna"/>
    <s v="Cash on delivery"/>
    <x v="0"/>
  </r>
  <r>
    <s v="ORD1077"/>
    <d v="2025-01-24T00:00:00"/>
    <s v="C077"/>
    <s v="P077"/>
    <n v="4"/>
    <n v="250"/>
    <n v="1000"/>
    <n v="0"/>
    <n v="0"/>
    <n v="400"/>
    <n v="1400"/>
    <n v="400"/>
    <s v="Aniket Banerjee"/>
    <s v="Micro"/>
    <x v="3"/>
    <s v="Kolkata"/>
    <s v="Cash on delivery"/>
    <x v="0"/>
  </r>
  <r>
    <s v="ORD1078"/>
    <d v="2025-01-24T00:00:00"/>
    <s v="C078"/>
    <s v="P078"/>
    <n v="5"/>
    <n v="175"/>
    <n v="875"/>
    <n v="0"/>
    <n v="0"/>
    <n v="350"/>
    <n v="1225"/>
    <n v="350"/>
    <s v="Tanvi Vohra"/>
    <s v="Micro"/>
    <x v="7"/>
    <s v="Kolkata"/>
    <s v="UPI"/>
    <x v="0"/>
  </r>
  <r>
    <s v="ORD1079"/>
    <d v="2025-01-24T00:00:00"/>
    <s v="C079"/>
    <s v="P079"/>
    <n v="6"/>
    <n v="500"/>
    <n v="3000"/>
    <n v="0"/>
    <n v="0"/>
    <n v="1200"/>
    <n v="4200"/>
    <n v="1200"/>
    <s v="Manav Sharma"/>
    <s v="Micro"/>
    <x v="11"/>
    <s v="Delhi"/>
    <s v="UPI"/>
    <x v="0"/>
  </r>
  <r>
    <s v="ORD1080"/>
    <d v="2025-01-24T00:00:00"/>
    <s v="C080"/>
    <s v="P080"/>
    <n v="7"/>
    <n v="700"/>
    <n v="4900"/>
    <n v="0"/>
    <n v="0"/>
    <n v="1960"/>
    <n v="6860"/>
    <n v="1960"/>
    <s v="Shreya Bansal"/>
    <s v="Small"/>
    <x v="11"/>
    <s v="Amravati"/>
    <s v="UPI"/>
    <x v="0"/>
  </r>
  <r>
    <s v="ORD1081"/>
    <d v="2025-01-24T00:00:00"/>
    <s v="C081"/>
    <s v="P081"/>
    <n v="8"/>
    <n v="1200"/>
    <n v="9600"/>
    <n v="0"/>
    <n v="0"/>
    <n v="3840"/>
    <n v="13440"/>
    <n v="3840"/>
    <s v="Vivaan Chopra"/>
    <s v="Medium"/>
    <x v="8"/>
    <s v="Noida"/>
    <s v="UPI"/>
    <x v="1"/>
  </r>
  <r>
    <s v="ORD1082"/>
    <d v="2025-01-24T00:00:00"/>
    <s v="C082"/>
    <s v="P082"/>
    <n v="9"/>
    <n v="900"/>
    <n v="8100"/>
    <n v="0"/>
    <n v="0"/>
    <n v="3240"/>
    <n v="11340"/>
    <n v="3240"/>
    <s v="Avni Sethi"/>
    <s v="Medium"/>
    <x v="8"/>
    <s v="Noida"/>
    <s v="UPI"/>
    <x v="0"/>
  </r>
  <r>
    <s v="ORD1083"/>
    <d v="2025-01-24T00:00:00"/>
    <s v="C083"/>
    <s v="P083"/>
    <n v="1"/>
    <n v="105000"/>
    <n v="105000"/>
    <n v="0.05"/>
    <n v="5250"/>
    <n v="42000"/>
    <n v="141750"/>
    <n v="36750"/>
    <s v="Reyansh Jain"/>
    <s v="Wholesale"/>
    <x v="3"/>
    <s v="Gurugram"/>
    <s v="Credit Card"/>
    <x v="1"/>
  </r>
  <r>
    <s v="ORD1084"/>
    <d v="2025-01-24T00:00:00"/>
    <s v="C084"/>
    <s v="P084"/>
    <n v="2"/>
    <n v="12500"/>
    <n v="25000"/>
    <n v="0.15"/>
    <n v="3750"/>
    <n v="10000"/>
    <n v="31250"/>
    <n v="6250"/>
    <s v="Myra Mukherjee"/>
    <s v="Large"/>
    <x v="12"/>
    <s v="Gurugram"/>
    <s v="Credit Card"/>
    <x v="1"/>
  </r>
  <r>
    <s v="ORD1085"/>
    <d v="2025-01-24T00:00:00"/>
    <s v="C085"/>
    <s v="P085"/>
    <n v="3"/>
    <n v="350"/>
    <n v="1050"/>
    <n v="0"/>
    <n v="0"/>
    <n v="420"/>
    <n v="1470"/>
    <n v="420"/>
    <s v="Krish Dubey"/>
    <s v="Micro"/>
    <x v="18"/>
    <s v="Gurugram"/>
    <s v="UPI"/>
    <x v="0"/>
  </r>
  <r>
    <s v="ORD1086"/>
    <d v="2025-01-24T00:00:00"/>
    <s v="C086"/>
    <s v="P086"/>
    <n v="4"/>
    <n v="650"/>
    <n v="2600"/>
    <n v="0"/>
    <n v="0"/>
    <n v="1040"/>
    <n v="3640"/>
    <n v="1040"/>
    <s v="Kiara Naidu"/>
    <s v="Micro"/>
    <x v="18"/>
    <s v="Chennai"/>
    <s v="UPI"/>
    <x v="0"/>
  </r>
  <r>
    <s v="ORD1087"/>
    <d v="2025-01-24T00:00:00"/>
    <s v="C087"/>
    <s v="P087"/>
    <n v="5"/>
    <n v="1450"/>
    <n v="7250"/>
    <n v="0.1"/>
    <n v="725"/>
    <n v="2900"/>
    <n v="9425"/>
    <n v="2175"/>
    <s v="Atharv Malhotra"/>
    <s v="Small"/>
    <x v="19"/>
    <s v="Noida"/>
    <s v="Credit Card"/>
    <x v="0"/>
  </r>
  <r>
    <s v="ORD1088"/>
    <d v="2025-01-24T00:00:00"/>
    <s v="C088"/>
    <s v="P088"/>
    <n v="7"/>
    <n v="2500"/>
    <n v="17500"/>
    <n v="0.1"/>
    <n v="1750"/>
    <n v="7000"/>
    <n v="22750"/>
    <n v="5250"/>
    <s v="Anika Joshi"/>
    <s v="Medium"/>
    <x v="19"/>
    <s v="Mumbai"/>
    <s v="Credit Card"/>
    <x v="0"/>
  </r>
  <r>
    <s v="ORD1089"/>
    <d v="2025-01-24T00:00:00"/>
    <s v="C089"/>
    <s v="P089"/>
    <n v="8"/>
    <n v="799"/>
    <n v="6392"/>
    <n v="0"/>
    <n v="0"/>
    <n v="2556.8000000000002"/>
    <n v="8948.7999999999993"/>
    <n v="2556.7999999999993"/>
    <s v="Dhruv Chawla"/>
    <s v="Small"/>
    <x v="3"/>
    <s v="Delhi"/>
    <s v="UPI"/>
    <x v="1"/>
  </r>
  <r>
    <s v="ORD1090"/>
    <d v="2025-01-24T00:00:00"/>
    <s v="C090"/>
    <s v="P090"/>
    <n v="8"/>
    <n v="1200"/>
    <n v="9600"/>
    <n v="0.05"/>
    <n v="480"/>
    <n v="3840"/>
    <n v="12960"/>
    <n v="3360"/>
    <s v="Saanvi Goyal"/>
    <s v="Medium"/>
    <x v="3"/>
    <s v="Gurugram"/>
    <s v="UPI"/>
    <x v="1"/>
  </r>
  <r>
    <s v="ORD1091"/>
    <d v="2025-01-24T00:00:00"/>
    <s v="C091"/>
    <s v="P091"/>
    <n v="8"/>
    <n v="3450"/>
    <n v="27600"/>
    <n v="0.1"/>
    <n v="2760"/>
    <n v="11040"/>
    <n v="35880"/>
    <n v="8280"/>
    <s v="Rudra Pillai"/>
    <s v="Large"/>
    <x v="3"/>
    <s v="Coimbatore"/>
    <s v="Credit Card"/>
    <x v="1"/>
  </r>
  <r>
    <s v="ORD1092"/>
    <d v="2025-01-24T00:00:00"/>
    <s v="C092"/>
    <s v="P092"/>
    <n v="9"/>
    <n v="8100"/>
    <n v="72900"/>
    <n v="0.1"/>
    <n v="7290"/>
    <n v="29160"/>
    <n v="94770"/>
    <n v="21870"/>
    <s v="Navya Tripathi"/>
    <s v="Large"/>
    <x v="18"/>
    <s v="Ghaziabad"/>
    <s v="Credit Card"/>
    <x v="1"/>
  </r>
  <r>
    <s v="ORD1093"/>
    <d v="2025-01-24T00:00:00"/>
    <s v="C093"/>
    <s v="P093"/>
    <n v="6"/>
    <n v="550"/>
    <n v="3300"/>
    <n v="0"/>
    <n v="0"/>
    <n v="1320"/>
    <n v="4620"/>
    <n v="1320"/>
    <s v="Ayush Bhatt"/>
    <s v="Micro"/>
    <x v="0"/>
    <s v="Delhi"/>
    <s v="Credit Card"/>
    <x v="1"/>
  </r>
  <r>
    <s v="ORD1094"/>
    <d v="2025-01-25T00:00:00"/>
    <s v="C094"/>
    <s v="P094"/>
    <n v="5"/>
    <n v="1200"/>
    <n v="6000"/>
    <n v="0"/>
    <n v="0"/>
    <n v="2400"/>
    <n v="8400"/>
    <n v="2400"/>
    <s v="Tanya Kapoor"/>
    <s v="Small"/>
    <x v="3"/>
    <s v="Pune"/>
    <s v="UPI"/>
    <x v="1"/>
  </r>
  <r>
    <s v="ORD1095"/>
    <d v="2025-01-25T00:00:00"/>
    <s v="C095"/>
    <s v="P095"/>
    <n v="4"/>
    <n v="200"/>
    <n v="800"/>
    <n v="0"/>
    <n v="0"/>
    <n v="320"/>
    <n v="1120"/>
    <n v="320"/>
    <s v="Arnav Nair"/>
    <s v="Micro"/>
    <x v="0"/>
    <s v="Delhi"/>
    <s v="UPI"/>
    <x v="1"/>
  </r>
  <r>
    <s v="ORD1096"/>
    <d v="2025-01-25T00:00:00"/>
    <s v="C096"/>
    <s v="P096"/>
    <n v="3"/>
    <n v="550"/>
    <n v="1650"/>
    <n v="0"/>
    <n v="0"/>
    <n v="660"/>
    <n v="2310"/>
    <n v="660"/>
    <s v="Ira Rao"/>
    <s v="Micro"/>
    <x v="5"/>
    <s v="Jammu"/>
    <s v="UPI"/>
    <x v="1"/>
  </r>
  <r>
    <s v="ORD1097"/>
    <d v="2025-01-25T00:00:00"/>
    <s v="C097"/>
    <s v="P097"/>
    <n v="3"/>
    <n v="650"/>
    <n v="1950"/>
    <n v="0"/>
    <n v="0"/>
    <n v="780"/>
    <n v="2730"/>
    <n v="780"/>
    <s v="Shaurya Bhatia"/>
    <s v="Micro"/>
    <x v="3"/>
    <s v="Karnal"/>
    <s v="UPI"/>
    <x v="1"/>
  </r>
  <r>
    <s v="ORD1098"/>
    <d v="2025-01-25T00:00:00"/>
    <s v="C098"/>
    <s v="P098"/>
    <n v="8"/>
    <n v="3000"/>
    <n v="24000"/>
    <n v="0"/>
    <n v="0"/>
    <n v="9600"/>
    <n v="33600"/>
    <n v="9600"/>
    <s v="Mahi Menon"/>
    <s v="Large"/>
    <x v="3"/>
    <s v="Jaipur"/>
    <s v="Credit Card"/>
    <x v="1"/>
  </r>
  <r>
    <s v="ORD1099"/>
    <d v="2025-01-25T00:00:00"/>
    <s v="C099"/>
    <s v="P099"/>
    <n v="7"/>
    <n v="700"/>
    <n v="4900"/>
    <n v="0"/>
    <n v="0"/>
    <n v="1960"/>
    <n v="6860"/>
    <n v="1960"/>
    <s v="Parth Shukla"/>
    <s v="Small"/>
    <x v="0"/>
    <s v="Jaipur"/>
    <s v="UPI"/>
    <x v="1"/>
  </r>
  <r>
    <s v="ORD1100"/>
    <d v="2025-01-25T00:00:00"/>
    <s v="C100"/>
    <s v="P100"/>
    <n v="6"/>
    <n v="14500"/>
    <n v="87000"/>
    <n v="0.25"/>
    <n v="21750"/>
    <n v="34800"/>
    <n v="100050"/>
    <n v="13050"/>
    <s v="Aanya Ahuja"/>
    <s v="Industrial"/>
    <x v="3"/>
    <s v="Delhi"/>
    <s v="Credit Card"/>
    <x v="1"/>
  </r>
  <r>
    <s v="ORD1101"/>
    <d v="2025-01-25T00:00:00"/>
    <s v="C101"/>
    <s v="P101"/>
    <n v="5"/>
    <n v="12500"/>
    <n v="62500"/>
    <n v="0.2"/>
    <n v="12500"/>
    <n v="25000"/>
    <n v="75000"/>
    <n v="12500"/>
    <s v="Aarav Kapoor"/>
    <s v="Large"/>
    <x v="3"/>
    <s v="Delhi"/>
    <s v="Credit Card"/>
    <x v="1"/>
  </r>
  <r>
    <s v="ORD1102"/>
    <d v="2025-01-25T00:00:00"/>
    <s v="C102"/>
    <s v="P102"/>
    <n v="4"/>
    <n v="10500"/>
    <n v="42000"/>
    <n v="0.15"/>
    <n v="6300"/>
    <n v="16800"/>
    <n v="52500"/>
    <n v="10500"/>
    <s v="Aditi Nair"/>
    <s v="Large"/>
    <x v="3"/>
    <s v="Kochi"/>
    <s v="Credit Card"/>
    <x v="1"/>
  </r>
  <r>
    <s v="ORD1103"/>
    <d v="2025-01-25T00:00:00"/>
    <s v="C103"/>
    <s v="P103"/>
    <n v="5"/>
    <n v="25000"/>
    <n v="125000"/>
    <n v="0.15"/>
    <n v="18750"/>
    <n v="50000"/>
    <n v="156250"/>
    <n v="31250"/>
    <s v="Arjun Rao"/>
    <s v="Wholesale"/>
    <x v="3"/>
    <s v="pune"/>
    <s v="EMI "/>
    <x v="1"/>
  </r>
  <r>
    <s v="ORD1104"/>
    <d v="2025-01-25T00:00:00"/>
    <s v="C104"/>
    <s v="P104"/>
    <n v="3"/>
    <n v="12000"/>
    <n v="36000"/>
    <n v="0.1"/>
    <n v="3600"/>
    <n v="14400"/>
    <n v="46800"/>
    <n v="10800"/>
    <s v="Ananya Bhatia"/>
    <s v="Large"/>
    <x v="3"/>
    <s v="Delhi"/>
    <s v="No Cost EMI"/>
    <x v="1"/>
  </r>
  <r>
    <s v="ORD1105"/>
    <d v="2025-01-25T00:00:00"/>
    <s v="C105"/>
    <s v="P105"/>
    <n v="2"/>
    <n v="20000"/>
    <n v="40000"/>
    <n v="0.25"/>
    <n v="10000"/>
    <n v="16000"/>
    <n v="46000"/>
    <n v="6000"/>
    <s v="Aditya Menon"/>
    <s v="Large"/>
    <x v="3"/>
    <s v="ghaziabad"/>
    <s v="Credit Card"/>
    <x v="1"/>
  </r>
  <r>
    <s v="ORD1106"/>
    <d v="2025-01-25T00:00:00"/>
    <s v="C106"/>
    <s v="P106"/>
    <n v="3"/>
    <n v="30000"/>
    <n v="90000"/>
    <n v="0.16"/>
    <n v="14400"/>
    <n v="36000"/>
    <n v="111600"/>
    <n v="21600"/>
    <s v="Ishita Shukla"/>
    <s v="Industrial"/>
    <x v="3"/>
    <s v="Faridabad"/>
    <s v="EMI "/>
    <x v="1"/>
  </r>
  <r>
    <s v="ORD1107"/>
    <d v="2025-01-25T00:00:00"/>
    <s v="C107"/>
    <s v="P107"/>
    <n v="4"/>
    <n v="40000"/>
    <n v="160000"/>
    <n v="0.05"/>
    <n v="8000"/>
    <n v="64000"/>
    <n v="216000"/>
    <n v="56000"/>
    <s v="Kabir Ahuja"/>
    <s v="Wholesale"/>
    <x v="3"/>
    <s v="Gurugram"/>
    <s v="EMI "/>
    <x v="1"/>
  </r>
  <r>
    <s v="ORD1108"/>
    <d v="2025-01-25T00:00:00"/>
    <s v="C108"/>
    <s v="P108"/>
    <n v="4"/>
    <n v="32000"/>
    <n v="128000"/>
    <n v="0.05"/>
    <n v="6400"/>
    <n v="51200"/>
    <n v="172800"/>
    <n v="44800"/>
    <s v="Meera Singh"/>
    <s v="Wholesale"/>
    <x v="3"/>
    <s v="Delhi"/>
    <s v="No Cost EMI"/>
    <x v="1"/>
  </r>
  <r>
    <s v="ORD1109"/>
    <d v="2025-01-25T00:00:00"/>
    <s v="C109"/>
    <s v="P109"/>
    <n v="2"/>
    <n v="70000"/>
    <n v="140000"/>
    <n v="0.05"/>
    <n v="7000"/>
    <n v="56000"/>
    <n v="189000"/>
    <n v="49000"/>
    <s v="Rohan Reddy"/>
    <s v="Wholesale"/>
    <x v="3"/>
    <s v="Bangalore"/>
    <s v="No Cost EMI"/>
    <x v="1"/>
  </r>
  <r>
    <s v="ORD1110"/>
    <d v="2025-01-25T00:00:00"/>
    <s v="C110"/>
    <s v="P110"/>
    <n v="11"/>
    <n v="15600"/>
    <n v="171600"/>
    <n v="0.1"/>
    <n v="17160"/>
    <n v="68640"/>
    <n v="223080"/>
    <n v="51480"/>
    <s v="Priya Das"/>
    <s v="Wholesale"/>
    <x v="3"/>
    <s v="Kolkata"/>
    <s v="EMI "/>
    <x v="1"/>
  </r>
  <r>
    <s v="ORD1111"/>
    <d v="2025-01-25T00:00:00"/>
    <s v="C111"/>
    <s v="P111"/>
    <n v="22"/>
    <n v="25000"/>
    <n v="550000"/>
    <n v="0.25"/>
    <n v="137500"/>
    <n v="220000"/>
    <n v="632500"/>
    <n v="82500"/>
    <s v="Rahul Arora"/>
    <s v="Wholesale"/>
    <x v="3"/>
    <s v="Gurugram"/>
    <s v="Buy Now Pay later"/>
    <x v="1"/>
  </r>
  <r>
    <s v="ORD1112"/>
    <d v="2025-01-25T00:00:00"/>
    <s v="C112"/>
    <s v="P112"/>
    <n v="13"/>
    <n v="14000"/>
    <n v="182000"/>
    <n v="0.1"/>
    <n v="18200"/>
    <n v="72800"/>
    <n v="236600"/>
    <n v="54600"/>
    <s v="Sneha Desai"/>
    <s v="Wholesale"/>
    <x v="20"/>
    <s v="Ghaziabad"/>
    <s v="Buy Now Pay later"/>
    <x v="1"/>
  </r>
  <r>
    <s v="ORD1113"/>
    <d v="2025-01-25T00:00:00"/>
    <s v="C113"/>
    <s v="P113"/>
    <n v="15"/>
    <n v="7500"/>
    <n v="112500"/>
    <n v="0.05"/>
    <n v="5625"/>
    <n v="45000"/>
    <n v="151875"/>
    <n v="39375"/>
    <s v="Vihaan Thakur"/>
    <s v="Wholesale"/>
    <x v="20"/>
    <s v="Faridabad"/>
    <s v="No Cost EMI"/>
    <x v="1"/>
  </r>
  <r>
    <s v="ORD1114"/>
    <d v="2025-01-25T00:00:00"/>
    <s v="C114"/>
    <s v="P114"/>
    <n v="15"/>
    <n v="4500"/>
    <n v="67500"/>
    <n v="0.1"/>
    <n v="6750"/>
    <n v="27000"/>
    <n v="87750"/>
    <n v="20250"/>
    <s v="Diya Kohli"/>
    <s v="Large"/>
    <x v="20"/>
    <s v="Delhi"/>
    <s v="EMI "/>
    <x v="1"/>
  </r>
  <r>
    <s v="ORD1115"/>
    <d v="2025-01-25T00:00:00"/>
    <s v="C115"/>
    <s v="P115"/>
    <n v="16"/>
    <n v="1450"/>
    <n v="23200"/>
    <n v="0.05"/>
    <n v="1160"/>
    <n v="9280"/>
    <n v="31320"/>
    <n v="8120"/>
    <s v="Karan Mehta"/>
    <s v="Large"/>
    <x v="20"/>
    <s v="Surat"/>
    <s v="UPI"/>
    <x v="1"/>
  </r>
  <r>
    <s v="ORD1116"/>
    <d v="2025-01-25T00:00:00"/>
    <s v="C116"/>
    <s v="P116"/>
    <n v="2"/>
    <n v="12500"/>
    <n v="25000"/>
    <n v="0.15"/>
    <n v="3750"/>
    <n v="10000"/>
    <n v="31250"/>
    <n v="6250"/>
    <s v="Neha Patel"/>
    <s v="Large"/>
    <x v="3"/>
    <s v="Surat"/>
    <s v="Credit Card"/>
    <x v="1"/>
  </r>
  <r>
    <s v="ORD1117"/>
    <d v="2025-01-25T00:00:00"/>
    <s v="C117"/>
    <s v="P117"/>
    <n v="3"/>
    <n v="3500"/>
    <n v="10500"/>
    <n v="0"/>
    <n v="0"/>
    <n v="4200"/>
    <n v="14700"/>
    <n v="4200"/>
    <s v="Aryan Khan"/>
    <s v="Medium"/>
    <x v="3"/>
    <s v="Mumbai"/>
    <s v="Credit Card"/>
    <x v="1"/>
  </r>
  <r>
    <s v="ORD1118"/>
    <d v="2025-01-25T00:00:00"/>
    <s v="C118"/>
    <s v="P118"/>
    <n v="4"/>
    <n v="124500"/>
    <n v="498000"/>
    <n v="0.15"/>
    <n v="74700"/>
    <n v="199200"/>
    <n v="622500"/>
    <n v="124500"/>
    <s v="Kavya Khanna"/>
    <s v="Wholesale"/>
    <x v="3"/>
    <s v="Delhi"/>
    <s v="Credit Card"/>
    <x v="0"/>
  </r>
  <r>
    <s v="ORD1119"/>
    <d v="2025-01-25T00:00:00"/>
    <s v="C119"/>
    <s v="P119"/>
    <n v="5"/>
    <n v="15200"/>
    <n v="76000"/>
    <n v="0.05"/>
    <n v="3800"/>
    <n v="30400"/>
    <n v="102600"/>
    <n v="26600"/>
    <s v="Yash Kulkarni"/>
    <s v="Industrial"/>
    <x v="3"/>
    <s v="Karnal"/>
    <s v="UPI"/>
    <x v="0"/>
  </r>
  <r>
    <s v="ORD1120"/>
    <d v="2025-01-25T00:00:00"/>
    <s v="C120"/>
    <s v="P120"/>
    <n v="6"/>
    <n v="23565"/>
    <n v="141390"/>
    <n v="0.15"/>
    <n v="21208.5"/>
    <n v="56556"/>
    <n v="176737.5"/>
    <n v="35347.5"/>
    <s v="Riya Yadav"/>
    <s v="Wholesale"/>
    <x v="3"/>
    <s v="Jind"/>
    <s v="Credit Card"/>
    <x v="0"/>
  </r>
  <r>
    <s v="ORD1121"/>
    <d v="2025-01-26T00:00:00"/>
    <s v="C121"/>
    <s v="P121"/>
    <n v="7"/>
    <n v="70000"/>
    <n v="490000"/>
    <n v="0.25"/>
    <n v="122500"/>
    <n v="196000"/>
    <n v="563500"/>
    <n v="73500"/>
    <s v="Dev Mathur"/>
    <s v="Wholesale"/>
    <x v="3"/>
    <s v="Rohtak"/>
    <s v="Credit Card"/>
    <x v="0"/>
  </r>
  <r>
    <s v="ORD1122"/>
    <d v="2025-01-26T00:00:00"/>
    <s v="C122"/>
    <s v="P122"/>
    <n v="8"/>
    <n v="8000"/>
    <n v="64000"/>
    <n v="0.15"/>
    <n v="9600"/>
    <n v="25600"/>
    <n v="80000"/>
    <n v="16000"/>
    <s v="Nisha Gupta"/>
    <s v="Large"/>
    <x v="19"/>
    <s v="Varanasi"/>
    <s v="Credit Card"/>
    <x v="0"/>
  </r>
  <r>
    <s v="ORD1123"/>
    <d v="2025-01-26T00:00:00"/>
    <s v="C123"/>
    <s v="P123"/>
    <n v="9"/>
    <n v="11000"/>
    <n v="99000"/>
    <n v="0.25"/>
    <n v="24750"/>
    <n v="39600"/>
    <n v="113850"/>
    <n v="14850"/>
    <s v="Siddharth Iyer"/>
    <s v="Industrial"/>
    <x v="19"/>
    <s v="Vishakhapatnam"/>
    <s v="Credit Card"/>
    <x v="0"/>
  </r>
  <r>
    <s v="ORD1124"/>
    <d v="2025-01-26T00:00:00"/>
    <s v="C124"/>
    <s v="P124"/>
    <n v="8"/>
    <n v="14000"/>
    <n v="112000"/>
    <n v="0.15"/>
    <n v="16800"/>
    <n v="44800"/>
    <n v="140000"/>
    <n v="28000"/>
    <s v="Pooja Mishra"/>
    <s v="Wholesale"/>
    <x v="19"/>
    <s v="Ayodhya"/>
    <s v="Credit Card"/>
    <x v="0"/>
  </r>
  <r>
    <s v="ORD1125"/>
    <d v="2025-01-26T00:00:00"/>
    <s v="C125"/>
    <s v="P125"/>
    <n v="9"/>
    <n v="17000"/>
    <n v="153000"/>
    <n v="0.25"/>
    <n v="38250"/>
    <n v="61200"/>
    <n v="175950"/>
    <n v="22950"/>
    <s v="Varun Pandey"/>
    <s v="Wholesale"/>
    <x v="19"/>
    <s v="Ayodhya"/>
    <s v="EMI "/>
    <x v="0"/>
  </r>
  <r>
    <s v="ORD1126"/>
    <d v="2025-01-26T00:00:00"/>
    <s v="C126"/>
    <s v="P126"/>
    <n v="8"/>
    <n v="20000"/>
    <n v="160000"/>
    <n v="0.15"/>
    <n v="24000"/>
    <n v="64000"/>
    <n v="200000"/>
    <n v="40000"/>
    <s v="Simran Srivastava"/>
    <s v="Wholesale"/>
    <x v="21"/>
    <s v="Ghaziabad"/>
    <s v="EMI "/>
    <x v="0"/>
  </r>
  <r>
    <s v="ORD1127"/>
    <d v="2025-01-26T00:00:00"/>
    <s v="C127"/>
    <s v="P127"/>
    <n v="9"/>
    <n v="23000"/>
    <n v="207000"/>
    <n v="0.25"/>
    <n v="51750"/>
    <n v="82800"/>
    <n v="238050"/>
    <n v="31050"/>
    <s v="Aniket Dutta"/>
    <s v="Wholesale"/>
    <x v="19"/>
    <s v="Noida"/>
    <s v="EMI "/>
    <x v="0"/>
  </r>
  <r>
    <s v="ORD1128"/>
    <d v="2025-01-26T00:00:00"/>
    <s v="C128"/>
    <s v="P128"/>
    <n v="8"/>
    <n v="26000"/>
    <n v="208000"/>
    <n v="0.15"/>
    <n v="31200"/>
    <n v="83200"/>
    <n v="260000"/>
    <n v="52000"/>
    <s v="Tanvi Sood"/>
    <s v="Wholesale"/>
    <x v="19"/>
    <s v="Chandigarh"/>
    <s v="EMI "/>
    <x v="0"/>
  </r>
  <r>
    <s v="ORD1129"/>
    <d v="2025-01-26T00:00:00"/>
    <s v="C129"/>
    <s v="P129"/>
    <n v="9"/>
    <n v="29000"/>
    <n v="261000"/>
    <n v="0.25"/>
    <n v="65250"/>
    <n v="104400"/>
    <n v="300150"/>
    <n v="39150"/>
    <s v="Manav Verma"/>
    <s v="Wholesale"/>
    <x v="19"/>
    <s v="Chandigarh"/>
    <s v="EMI "/>
    <x v="0"/>
  </r>
  <r>
    <s v="ORD1130"/>
    <d v="2025-01-26T00:00:00"/>
    <s v="C130"/>
    <s v="P130"/>
    <n v="9"/>
    <n v="32000"/>
    <n v="288000"/>
    <n v="0.15"/>
    <n v="43200"/>
    <n v="115200"/>
    <n v="360000"/>
    <n v="72000"/>
    <s v="Shreya Agarwal"/>
    <s v="Wholesale"/>
    <x v="3"/>
    <s v="Delhi"/>
    <s v="EMI "/>
    <x v="1"/>
  </r>
  <r>
    <s v="ORD1131"/>
    <d v="2025-01-26T00:00:00"/>
    <s v="C131"/>
    <s v="P131"/>
    <n v="9"/>
    <n v="35000"/>
    <n v="315000"/>
    <n v="0.02"/>
    <n v="6300"/>
    <n v="126000"/>
    <n v="434700"/>
    <n v="119700"/>
    <s v="Vivaan Saxena"/>
    <s v="Wholesale"/>
    <x v="19"/>
    <s v="Delhi"/>
    <s v="EMI "/>
    <x v="1"/>
  </r>
  <r>
    <s v="ORD1132"/>
    <d v="2025-01-26T00:00:00"/>
    <s v="C132"/>
    <s v="P132"/>
    <n v="8"/>
    <n v="38000"/>
    <n v="304000"/>
    <n v="0.02"/>
    <n v="6080"/>
    <n v="121600"/>
    <n v="419520"/>
    <n v="115520"/>
    <s v="Avni Tiwari"/>
    <s v="Wholesale"/>
    <x v="8"/>
    <s v="Delhi"/>
    <s v="EMI "/>
    <x v="1"/>
  </r>
  <r>
    <s v="ORD1133"/>
    <d v="2025-01-26T00:00:00"/>
    <s v="C133"/>
    <s v="P133"/>
    <n v="7"/>
    <n v="41000"/>
    <n v="287000"/>
    <n v="0.2"/>
    <n v="57400"/>
    <n v="114800"/>
    <n v="344400"/>
    <n v="57400"/>
    <s v="Reyansh Sinha"/>
    <s v="Wholesale"/>
    <x v="8"/>
    <s v="Delhi"/>
    <s v="EMI "/>
    <x v="1"/>
  </r>
  <r>
    <s v="ORD1134"/>
    <d v="2025-01-26T00:00:00"/>
    <s v="C134"/>
    <s v="P134"/>
    <n v="2"/>
    <n v="47500"/>
    <n v="95000"/>
    <n v="0.1"/>
    <n v="9500"/>
    <n v="38000"/>
    <n v="123500"/>
    <n v="28500"/>
    <s v="Myra Banerjee"/>
    <s v="Industrial"/>
    <x v="8"/>
    <s v="Kolkata"/>
    <s v="EMI "/>
    <x v="1"/>
  </r>
  <r>
    <s v="ORD1135"/>
    <d v="2025-01-26T00:00:00"/>
    <s v="C135"/>
    <s v="P135"/>
    <n v="2"/>
    <n v="49000"/>
    <n v="98000"/>
    <n v="0.15"/>
    <n v="14700"/>
    <n v="39200"/>
    <n v="122500"/>
    <n v="24500"/>
    <s v="Krish Vohra"/>
    <s v="Industrial"/>
    <x v="8"/>
    <s v="Mumbai"/>
    <s v="EMI "/>
    <x v="1"/>
  </r>
  <r>
    <s v="ORD1136"/>
    <d v="2025-01-26T00:00:00"/>
    <s v="C136"/>
    <s v="P136"/>
    <n v="2"/>
    <n v="51500"/>
    <n v="103000"/>
    <n v="0.2"/>
    <n v="20600"/>
    <n v="41200"/>
    <n v="123600"/>
    <n v="20600"/>
    <s v="Kiara Sharma"/>
    <s v="Industrial"/>
    <x v="8"/>
    <s v="Pune"/>
    <s v="Credit Card"/>
    <x v="1"/>
  </r>
  <r>
    <s v="ORD1137"/>
    <d v="2025-01-26T00:00:00"/>
    <s v="C137"/>
    <s v="P137"/>
    <n v="1"/>
    <n v="70000"/>
    <n v="70000"/>
    <n v="0.125"/>
    <n v="8750"/>
    <n v="28000"/>
    <n v="89250"/>
    <n v="19250"/>
    <s v="Atharv Bansal"/>
    <s v="Large"/>
    <x v="3"/>
    <s v="Chandigarh"/>
    <s v="EMI "/>
    <x v="1"/>
  </r>
  <r>
    <s v="ORD1138"/>
    <d v="2025-01-26T00:00:00"/>
    <s v="C138"/>
    <s v="P138"/>
    <n v="1"/>
    <n v="81000"/>
    <n v="81000"/>
    <n v="0.2"/>
    <n v="16200"/>
    <n v="32400"/>
    <n v="97200"/>
    <n v="16200"/>
    <s v="Anika Chopra"/>
    <s v="Large"/>
    <x v="3"/>
    <s v="Noida"/>
    <s v="EMI "/>
    <x v="1"/>
  </r>
  <r>
    <s v="ORD1139"/>
    <d v="2025-01-26T00:00:00"/>
    <s v="C139"/>
    <s v="P139"/>
    <n v="2"/>
    <n v="56000"/>
    <n v="112000"/>
    <n v="0.25"/>
    <n v="28000"/>
    <n v="44800"/>
    <n v="128800"/>
    <n v="16800"/>
    <s v="Dhruv Sethi"/>
    <s v="Wholesale"/>
    <x v="19"/>
    <s v="Ghaziabad"/>
    <s v="EMI "/>
    <x v="1"/>
  </r>
  <r>
    <s v="ORD1140"/>
    <d v="2025-01-26T00:00:00"/>
    <s v="C140"/>
    <s v="P140"/>
    <n v="1"/>
    <n v="35000"/>
    <n v="35000"/>
    <n v="0.05"/>
    <n v="1750"/>
    <n v="14000"/>
    <n v="47250"/>
    <n v="12250"/>
    <s v="Saanvi Jain"/>
    <s v="Large"/>
    <x v="3"/>
    <s v="Kanpur"/>
    <s v="Credit Card"/>
    <x v="1"/>
  </r>
  <r>
    <s v="ORD1141"/>
    <d v="2025-01-26T00:00:00"/>
    <s v="C141"/>
    <s v="P141"/>
    <n v="3"/>
    <n v="24500"/>
    <n v="73500"/>
    <n v="0.12"/>
    <n v="8820"/>
    <n v="29400"/>
    <n v="94080"/>
    <n v="20580"/>
    <s v="Rudra Mukherjee"/>
    <s v="Large"/>
    <x v="20"/>
    <s v="Aurangabad"/>
    <s v="EMI "/>
    <x v="1"/>
  </r>
  <r>
    <s v="ORD1142"/>
    <d v="2025-01-26T00:00:00"/>
    <s v="C142"/>
    <s v="P142"/>
    <n v="1"/>
    <n v="245000"/>
    <n v="245000"/>
    <n v="0.25"/>
    <n v="61250"/>
    <n v="98000"/>
    <n v="281750"/>
    <n v="36750"/>
    <s v="Navya Dubey"/>
    <s v="Wholesale"/>
    <x v="3"/>
    <s v="Aligarh "/>
    <s v="EMI "/>
    <x v="1"/>
  </r>
  <r>
    <s v="ORD1143"/>
    <d v="2025-01-26T00:00:00"/>
    <s v="C143"/>
    <s v="P143"/>
    <n v="2"/>
    <n v="34599"/>
    <n v="69198"/>
    <n v="0.25"/>
    <n v="17299.5"/>
    <n v="27679.200000000001"/>
    <n v="79577.7"/>
    <n v="10379.699999999997"/>
    <s v="Ayush Naidu"/>
    <s v="Large"/>
    <x v="3"/>
    <s v="Vizag"/>
    <s v="EMI "/>
    <x v="1"/>
  </r>
  <r>
    <s v="ORD1144"/>
    <d v="2025-01-26T00:00:00"/>
    <s v="C144"/>
    <s v="P144"/>
    <n v="3"/>
    <n v="45612"/>
    <n v="136836"/>
    <n v="0.2"/>
    <n v="27367.200000000001"/>
    <n v="54734.400000000001"/>
    <n v="164203.19999999998"/>
    <n v="27367.199999999983"/>
    <s v="Tanya Malhotra"/>
    <s v="Wholesale"/>
    <x v="3"/>
    <s v="Faridabad"/>
    <s v="Credit Card"/>
    <x v="1"/>
  </r>
  <r>
    <s v="ORD1145"/>
    <d v="2025-01-26T00:00:00"/>
    <s v="C145"/>
    <s v="P145"/>
    <n v="4"/>
    <n v="12345"/>
    <n v="49380"/>
    <n v="0.15"/>
    <n v="7407"/>
    <n v="19752"/>
    <n v="61725"/>
    <n v="12345"/>
    <s v="Arnav Joshi"/>
    <s v="Large"/>
    <x v="8"/>
    <s v="Kannauj"/>
    <s v="EMI "/>
    <x v="1"/>
  </r>
  <r>
    <s v="ORD1146"/>
    <d v="2025-01-26T00:00:00"/>
    <s v="C146"/>
    <s v="P146"/>
    <n v="1"/>
    <n v="30000"/>
    <n v="30000"/>
    <n v="0.1"/>
    <n v="3000"/>
    <n v="12000"/>
    <n v="39000"/>
    <n v="9000"/>
    <s v="Ira Chawla"/>
    <s v="Large"/>
    <x v="3"/>
    <s v="Rohtak"/>
    <s v="EMI "/>
    <x v="1"/>
  </r>
  <r>
    <s v="ORD1147"/>
    <d v="2025-01-26T00:00:00"/>
    <s v="C147"/>
    <s v="P147"/>
    <n v="3"/>
    <n v="31000"/>
    <n v="93000"/>
    <n v="0.14000000000000001"/>
    <n v="13020.000000000002"/>
    <n v="37200"/>
    <n v="117180"/>
    <n v="24180"/>
    <s v="Shaurya Goyal"/>
    <s v="Industrial"/>
    <x v="8"/>
    <s v="Sonipat"/>
    <s v="EMI "/>
    <x v="1"/>
  </r>
  <r>
    <s v="ORD1148"/>
    <d v="2025-01-26T00:00:00"/>
    <s v="C148"/>
    <s v="P148"/>
    <n v="3"/>
    <n v="32000"/>
    <n v="96000"/>
    <n v="0.25"/>
    <n v="24000"/>
    <n v="38400"/>
    <n v="110400"/>
    <n v="14400"/>
    <s v="Mahi Pillai"/>
    <s v="Industrial"/>
    <x v="19"/>
    <s v="Vizag"/>
    <s v="EMI "/>
    <x v="1"/>
  </r>
  <r>
    <s v="ORD1149"/>
    <d v="2025-01-26T00:00:00"/>
    <s v="C149"/>
    <s v="P149"/>
    <n v="3"/>
    <n v="33000"/>
    <n v="99000"/>
    <n v="0.35"/>
    <n v="34650"/>
    <n v="39600"/>
    <n v="103950"/>
    <n v="4950"/>
    <s v="Parth Tripathi"/>
    <s v="Industrial"/>
    <x v="8"/>
    <s v="Panipat"/>
    <s v="EMI "/>
    <x v="1"/>
  </r>
  <r>
    <s v="ORD1150"/>
    <d v="2025-01-26T00:00:00"/>
    <s v="C150"/>
    <s v="P150"/>
    <n v="3"/>
    <n v="34000"/>
    <n v="102000"/>
    <n v="0.25"/>
    <n v="25500"/>
    <n v="40800"/>
    <n v="117300"/>
    <n v="15300"/>
    <s v="Aanya Bhatt"/>
    <s v="Industrial"/>
    <x v="8"/>
    <s v="Baghpat"/>
    <s v="EMI "/>
    <x v="1"/>
  </r>
  <r>
    <s v="ORD1151"/>
    <d v="2025-01-26T00:00:00"/>
    <s v="C151"/>
    <s v="P151"/>
    <n v="4"/>
    <n v="35000"/>
    <n v="140000"/>
    <n v="0.25"/>
    <n v="35000"/>
    <n v="56000"/>
    <n v="161000"/>
    <n v="21000"/>
    <s v="Aarav Malhotra"/>
    <s v="Wholesale"/>
    <x v="8"/>
    <s v="ghaziabad"/>
    <s v="Credit Card"/>
    <x v="1"/>
  </r>
  <r>
    <s v="ORD1152"/>
    <d v="2025-01-26T00:00:00"/>
    <s v="C152"/>
    <s v="P152"/>
    <n v="4"/>
    <n v="36000"/>
    <n v="144000"/>
    <n v="0.1"/>
    <n v="14400"/>
    <n v="57600"/>
    <n v="187200"/>
    <n v="43200"/>
    <s v="Aditi Joshi"/>
    <s v="Wholesale"/>
    <x v="8"/>
    <s v="Delhi"/>
    <s v="Credit Card"/>
    <x v="1"/>
  </r>
  <r>
    <s v="ORD1153"/>
    <d v="2025-01-26T00:00:00"/>
    <s v="C153"/>
    <s v="P153"/>
    <n v="4"/>
    <n v="37000"/>
    <n v="148000"/>
    <n v="0.15"/>
    <n v="22200"/>
    <n v="59200"/>
    <n v="185000"/>
    <n v="37000"/>
    <s v="Arjun Chawla"/>
    <s v="Wholesale"/>
    <x v="8"/>
    <s v="Mumbai"/>
    <s v="EMI "/>
    <x v="1"/>
  </r>
  <r>
    <s v="ORD1154"/>
    <d v="2025-01-26T00:00:00"/>
    <s v="C154"/>
    <s v="P154"/>
    <n v="4"/>
    <n v="38000"/>
    <n v="152000"/>
    <n v="0.1"/>
    <n v="15200"/>
    <n v="60800"/>
    <n v="197600"/>
    <n v="45600"/>
    <s v="Ananya Goyal"/>
    <s v="Wholesale"/>
    <x v="8"/>
    <s v="Meerut"/>
    <s v="EMI "/>
    <x v="1"/>
  </r>
  <r>
    <s v="ORD1155"/>
    <d v="2025-01-26T00:00:00"/>
    <s v="C155"/>
    <s v="P155"/>
    <n v="4"/>
    <n v="39000"/>
    <n v="156000"/>
    <n v="0.13"/>
    <n v="20280"/>
    <n v="62400"/>
    <n v="198120"/>
    <n v="42120"/>
    <s v="Aditya Pillai"/>
    <s v="Wholesale"/>
    <x v="8"/>
    <s v="Gurugram"/>
    <s v="EMI "/>
    <x v="1"/>
  </r>
  <r>
    <s v="ORD1156"/>
    <d v="2025-01-26T00:00:00"/>
    <s v="C156"/>
    <s v="P156"/>
    <n v="4"/>
    <n v="40000"/>
    <n v="160000"/>
    <n v="0.14000000000000001"/>
    <n v="22400.000000000004"/>
    <n v="64000"/>
    <n v="201600"/>
    <n v="41600"/>
    <s v="Ishita Dagar"/>
    <s v="Wholesale"/>
    <x v="8"/>
    <s v="Rohtak"/>
    <s v="Buy Now Pay later"/>
    <x v="1"/>
  </r>
  <r>
    <s v="ORD1157"/>
    <d v="2025-01-26T00:00:00"/>
    <s v="C157"/>
    <s v="P157"/>
    <n v="5"/>
    <n v="41000"/>
    <n v="205000"/>
    <n v="0.16"/>
    <n v="32800"/>
    <n v="82000"/>
    <n v="254200"/>
    <n v="49200"/>
    <s v="Kabir Bhatt"/>
    <s v="Wholesale"/>
    <x v="8"/>
    <s v="Srinagar"/>
    <s v="EMI "/>
    <x v="1"/>
  </r>
  <r>
    <s v="ORD1158"/>
    <d v="2025-01-26T00:00:00"/>
    <s v="C158"/>
    <s v="P158"/>
    <n v="5"/>
    <n v="42000"/>
    <n v="210000"/>
    <n v="0.12"/>
    <n v="25200"/>
    <n v="84000"/>
    <n v="268800"/>
    <n v="58800"/>
    <s v="Meera Kapoor"/>
    <s v="Wholesale"/>
    <x v="8"/>
    <s v="Srinagar"/>
    <s v="EMI "/>
    <x v="1"/>
  </r>
  <r>
    <s v="ORD1159"/>
    <d v="2025-01-26T00:00:00"/>
    <s v="C159"/>
    <s v="P159"/>
    <n v="5"/>
    <n v="43000"/>
    <n v="215000"/>
    <n v="0.11"/>
    <n v="23650"/>
    <n v="86000"/>
    <n v="277350"/>
    <n v="62350"/>
    <s v="Rohan Nair"/>
    <s v="Wholesale"/>
    <x v="8"/>
    <s v="Vizag"/>
    <s v="Credit Card"/>
    <x v="1"/>
  </r>
  <r>
    <s v="ORD1160"/>
    <d v="2025-01-26T00:00:00"/>
    <s v="C160"/>
    <s v="P160"/>
    <n v="5"/>
    <n v="44000"/>
    <n v="220000"/>
    <n v="0.4"/>
    <n v="88000"/>
    <n v="88000"/>
    <n v="220000"/>
    <n v="0"/>
    <s v="Priya Rao"/>
    <s v="Wholesale"/>
    <x v="8"/>
    <s v="Faridabad"/>
    <s v="EMI "/>
    <x v="1"/>
  </r>
  <r>
    <s v="ORD1161"/>
    <d v="2025-01-26T00:00:00"/>
    <s v="C161"/>
    <s v="P161"/>
    <n v="5"/>
    <n v="45000"/>
    <n v="225000"/>
    <n v="0.4"/>
    <n v="90000"/>
    <n v="90000"/>
    <n v="225000"/>
    <n v="0"/>
    <s v="Rahul Bhatia"/>
    <s v="Wholesale"/>
    <x v="8"/>
    <s v="Chandigarh"/>
    <s v="Credit Card"/>
    <x v="1"/>
  </r>
  <r>
    <s v="ORD1162"/>
    <d v="2025-01-26T00:00:00"/>
    <s v="C162"/>
    <s v="P162"/>
    <n v="5"/>
    <n v="46000"/>
    <n v="230000"/>
    <n v="0.4"/>
    <n v="92000"/>
    <n v="92000"/>
    <n v="230000"/>
    <n v="0"/>
    <s v="Sneha Menon"/>
    <s v="Wholesale"/>
    <x v="19"/>
    <s v="Kannauj"/>
    <s v="EMI "/>
    <x v="1"/>
  </r>
  <r>
    <s v="ORD1163"/>
    <d v="2025-01-26T00:00:00"/>
    <s v="C163"/>
    <s v="P163"/>
    <n v="5"/>
    <n v="47000"/>
    <n v="235000"/>
    <n v="0.2"/>
    <n v="47000"/>
    <n v="94000"/>
    <n v="282000"/>
    <n v="47000"/>
    <s v="Vihaan Shukla"/>
    <s v="Wholesale"/>
    <x v="19"/>
    <s v="Faridabad"/>
    <s v="EMI "/>
    <x v="1"/>
  </r>
  <r>
    <s v="ORD1164"/>
    <d v="2025-01-27T00:00:00"/>
    <s v="C164"/>
    <s v="P164"/>
    <n v="5"/>
    <n v="48000"/>
    <n v="240000"/>
    <n v="4.4999999999999998E-2"/>
    <n v="10800"/>
    <n v="96000"/>
    <n v="325200"/>
    <n v="85200"/>
    <s v="Diya Ahuja"/>
    <s v="Wholesale"/>
    <x v="19"/>
    <s v="Chandigarh"/>
    <s v="EMI "/>
    <x v="1"/>
  </r>
  <r>
    <s v="ORD1165"/>
    <d v="2025-01-27T00:00:00"/>
    <s v="C165"/>
    <s v="P165"/>
    <n v="5"/>
    <n v="49000"/>
    <n v="245000"/>
    <n v="5.5E-2"/>
    <n v="13475"/>
    <n v="98000"/>
    <n v="329525"/>
    <n v="84525"/>
    <s v="Karan Singh"/>
    <s v="Wholesale"/>
    <x v="19"/>
    <s v="Gorakhpur"/>
    <s v="EMI "/>
    <x v="1"/>
  </r>
  <r>
    <s v="ORD1166"/>
    <d v="2025-01-27T00:00:00"/>
    <s v="C166"/>
    <s v="P166"/>
    <n v="5"/>
    <n v="50000"/>
    <n v="250000"/>
    <n v="0.4"/>
    <n v="100000"/>
    <n v="100000"/>
    <n v="250000"/>
    <n v="0"/>
    <s v="Neha Reddy"/>
    <s v="Wholesale"/>
    <x v="3"/>
    <s v="Bareilly"/>
    <s v="EMI "/>
    <x v="1"/>
  </r>
  <r>
    <s v="ORD1167"/>
    <d v="2025-01-27T00:00:00"/>
    <s v="C167"/>
    <s v="P167"/>
    <n v="5"/>
    <n v="51000"/>
    <n v="255000"/>
    <n v="0.1"/>
    <n v="25500"/>
    <n v="102000"/>
    <n v="331500"/>
    <n v="76500"/>
    <s v="Aryan Das"/>
    <s v="Wholesale"/>
    <x v="3"/>
    <s v="Kolkata"/>
    <s v="EMI "/>
    <x v="1"/>
  </r>
  <r>
    <s v="ORD1168"/>
    <d v="2025-01-27T00:00:00"/>
    <s v="C168"/>
    <s v="P168"/>
    <n v="6"/>
    <n v="52000"/>
    <n v="312000"/>
    <n v="0.1"/>
    <n v="31200"/>
    <n v="124800"/>
    <n v="405600"/>
    <n v="93600"/>
    <s v="Kavya Arora"/>
    <s v="Wholesale"/>
    <x v="3"/>
    <s v="Gurugram"/>
    <s v="EMI "/>
    <x v="1"/>
  </r>
  <r>
    <s v="ORD1169"/>
    <d v="2025-01-27T00:00:00"/>
    <s v="C169"/>
    <s v="P169"/>
    <n v="6"/>
    <n v="53000"/>
    <n v="318000"/>
    <n v="0.13"/>
    <n v="41340"/>
    <n v="127200"/>
    <n v="403860"/>
    <n v="85860"/>
    <s v="Yash Desai"/>
    <s v="Wholesale"/>
    <x v="3"/>
    <s v="Gorakhpur"/>
    <s v="EMI "/>
    <x v="1"/>
  </r>
  <r>
    <s v="ORD1170"/>
    <d v="2025-01-27T00:00:00"/>
    <s v="C170"/>
    <s v="P170"/>
    <n v="7"/>
    <n v="54000"/>
    <n v="378000"/>
    <n v="0.08"/>
    <n v="30240"/>
    <n v="151200"/>
    <n v="498960"/>
    <n v="120960"/>
    <s v="Riya Thakur"/>
    <s v="Wholesale"/>
    <x v="3"/>
    <s v="Lucknow"/>
    <s v="EMI "/>
    <x v="1"/>
  </r>
  <r>
    <s v="ORD1171"/>
    <d v="2025-01-27T00:00:00"/>
    <s v="C171"/>
    <s v="P171"/>
    <n v="6"/>
    <n v="55000"/>
    <n v="330000"/>
    <n v="0.04"/>
    <n v="13200"/>
    <n v="132000"/>
    <n v="448800"/>
    <n v="118800"/>
    <s v="Dev Kohli"/>
    <s v="Wholesale"/>
    <x v="12"/>
    <s v="Faridabad"/>
    <s v="EMI "/>
    <x v="1"/>
  </r>
  <r>
    <s v="ORD1172"/>
    <d v="2025-01-27T00:00:00"/>
    <s v="C172"/>
    <s v="P172"/>
    <n v="5"/>
    <n v="56000"/>
    <n v="280000"/>
    <n v="0.05"/>
    <n v="14000"/>
    <n v="112000"/>
    <n v="378000"/>
    <n v="98000"/>
    <s v="Nishant Nagar"/>
    <s v="Wholesale"/>
    <x v="10"/>
    <s v="Baghpat"/>
    <s v="EMI "/>
    <x v="1"/>
  </r>
  <r>
    <s v="ORD1173"/>
    <d v="2025-01-27T00:00:00"/>
    <s v="C173"/>
    <s v="P173"/>
    <n v="4"/>
    <n v="57000"/>
    <n v="228000"/>
    <n v="0.1"/>
    <n v="22800"/>
    <n v="91200"/>
    <n v="296400"/>
    <n v="68400"/>
    <s v="Siddharth Patel"/>
    <s v="Wholesale"/>
    <x v="3"/>
    <s v="Surat"/>
    <s v="EMI "/>
    <x v="1"/>
  </r>
  <r>
    <s v="ORD1174"/>
    <d v="2025-01-27T00:00:00"/>
    <s v="C174"/>
    <s v="P174"/>
    <n v="3"/>
    <n v="58000"/>
    <n v="174000"/>
    <n v="0.12"/>
    <n v="20880"/>
    <n v="69600"/>
    <n v="222720"/>
    <n v="48720"/>
    <s v="Pooja Khanna"/>
    <s v="Wholesale"/>
    <x v="19"/>
    <s v="Delhi"/>
    <s v="EMI "/>
    <x v="1"/>
  </r>
  <r>
    <s v="ORD1175"/>
    <d v="2025-01-28T00:00:00"/>
    <s v="C175"/>
    <s v="P175"/>
    <n v="2"/>
    <n v="59000"/>
    <n v="118000"/>
    <n v="0.13"/>
    <n v="15340"/>
    <n v="47200"/>
    <n v="149860"/>
    <n v="31860"/>
    <s v="Varun Khanna"/>
    <s v="Wholesale"/>
    <x v="19"/>
    <s v="Delhi"/>
    <s v="EMI "/>
    <x v="1"/>
  </r>
  <r>
    <s v="ORD1176"/>
    <d v="2025-01-28T00:00:00"/>
    <s v="C176"/>
    <s v="P176"/>
    <n v="1"/>
    <n v="60000"/>
    <n v="60000"/>
    <n v="0.15"/>
    <n v="9000"/>
    <n v="24000"/>
    <n v="75000"/>
    <n v="15000"/>
    <s v="Simran Kulkarni"/>
    <s v="Large"/>
    <x v="3"/>
    <s v="Nashik"/>
    <s v="EMI "/>
    <x v="1"/>
  </r>
  <r>
    <s v="ORD1177"/>
    <d v="2025-01-28T00:00:00"/>
    <s v="C177"/>
    <s v="P177"/>
    <n v="2"/>
    <n v="61000"/>
    <n v="122000"/>
    <n v="0.2"/>
    <n v="24400"/>
    <n v="48800"/>
    <n v="146400"/>
    <n v="24400"/>
    <s v="Aniket Yadav"/>
    <s v="Wholesale"/>
    <x v="8"/>
    <s v="Vadodra"/>
    <s v="EMI "/>
    <x v="1"/>
  </r>
  <r>
    <s v="ORD1178"/>
    <d v="2025-01-28T00:00:00"/>
    <s v="C178"/>
    <s v="P178"/>
    <n v="1"/>
    <n v="62000"/>
    <n v="62000"/>
    <n v="0.2"/>
    <n v="12400"/>
    <n v="24800"/>
    <n v="74400"/>
    <n v="12400"/>
    <s v="Tanvi Mathur"/>
    <s v="Large"/>
    <x v="10"/>
    <s v="Nangloi"/>
    <s v="EMI "/>
    <x v="1"/>
  </r>
  <r>
    <s v="ORD1179"/>
    <d v="2025-01-28T00:00:00"/>
    <s v="C179"/>
    <s v="P179"/>
    <n v="1"/>
    <n v="63000"/>
    <n v="63000"/>
    <n v="0.1"/>
    <n v="6300"/>
    <n v="25200"/>
    <n v="81900"/>
    <n v="18900"/>
    <s v="Manav Gupta"/>
    <s v="Large"/>
    <x v="8"/>
    <s v="Delhi"/>
    <s v="EMI "/>
    <x v="1"/>
  </r>
  <r>
    <s v="ORD1180"/>
    <d v="2025-01-28T00:00:00"/>
    <s v="C180"/>
    <s v="P180"/>
    <n v="1"/>
    <n v="64000"/>
    <n v="64000"/>
    <n v="0.1"/>
    <n v="6400"/>
    <n v="25600"/>
    <n v="83200"/>
    <n v="19200"/>
    <s v="Shreya Iyer"/>
    <s v="Large"/>
    <x v="8"/>
    <s v="Vizag"/>
    <s v="EMI "/>
    <x v="1"/>
  </r>
  <r>
    <s v="ORD1181"/>
    <d v="2025-01-28T00:00:00"/>
    <s v="C181"/>
    <s v="P181"/>
    <n v="1"/>
    <n v="65000"/>
    <n v="65000"/>
    <n v="0.15"/>
    <n v="9750"/>
    <n v="26000"/>
    <n v="81250"/>
    <n v="16250"/>
    <s v="Vivaan Mishra"/>
    <s v="Large"/>
    <x v="8"/>
    <s v="Kannauj"/>
    <s v="EMI "/>
    <x v="1"/>
  </r>
  <r>
    <s v="ORD1182"/>
    <d v="2025-01-28T00:00:00"/>
    <s v="C182"/>
    <s v="P182"/>
    <n v="1"/>
    <n v="66000"/>
    <n v="66000"/>
    <n v="0.25"/>
    <n v="16500"/>
    <n v="26400"/>
    <n v="75900"/>
    <n v="9900"/>
    <s v="Avni Pandey"/>
    <s v="Large"/>
    <x v="8"/>
    <s v="Varanasi"/>
    <s v="Credit Card"/>
    <x v="1"/>
  </r>
  <r>
    <s v="ORD1183"/>
    <d v="2025-01-28T00:00:00"/>
    <s v="C183"/>
    <s v="P183"/>
    <n v="1"/>
    <n v="67000"/>
    <n v="67000"/>
    <n v="0.1"/>
    <n v="6700"/>
    <n v="26800"/>
    <n v="87100"/>
    <n v="20100"/>
    <s v="Reyansh Srivastava"/>
    <s v="Large"/>
    <x v="8"/>
    <s v="Ayodhya"/>
    <s v="Credit Card"/>
    <x v="1"/>
  </r>
  <r>
    <s v="ORD1184"/>
    <d v="2025-01-29T00:00:00"/>
    <s v="C184"/>
    <s v="P184"/>
    <n v="1"/>
    <n v="68000"/>
    <n v="68000"/>
    <n v="0.1"/>
    <n v="6800"/>
    <n v="27200"/>
    <n v="88400"/>
    <n v="20400"/>
    <s v="Myra Dutta"/>
    <s v="Large"/>
    <x v="8"/>
    <s v="Gorakhpur"/>
    <s v="Credit Card"/>
    <x v="1"/>
  </r>
  <r>
    <s v="ORD1185"/>
    <d v="2025-01-29T00:00:00"/>
    <s v="C185"/>
    <s v="P185"/>
    <n v="1"/>
    <n v="69000"/>
    <n v="69000"/>
    <n v="0.05"/>
    <n v="3450"/>
    <n v="27600"/>
    <n v="93150"/>
    <n v="24150"/>
    <s v="Krish Sood"/>
    <s v="Large"/>
    <x v="8"/>
    <s v="Amritsar"/>
    <s v="Credit Card"/>
    <x v="1"/>
  </r>
  <r>
    <s v="ORD1186"/>
    <d v="2025-01-29T00:00:00"/>
    <s v="C186"/>
    <s v="P186"/>
    <n v="1"/>
    <n v="70000"/>
    <n v="70000"/>
    <n v="0.1"/>
    <n v="7000"/>
    <n v="28000"/>
    <n v="91000"/>
    <n v="21000"/>
    <s v="Kiara Verma"/>
    <s v="Large"/>
    <x v="13"/>
    <s v="Panipat"/>
    <s v="EMI "/>
    <x v="1"/>
  </r>
  <r>
    <s v="ORD1187"/>
    <d v="2025-01-29T00:00:00"/>
    <s v="C187"/>
    <s v="P187"/>
    <n v="1"/>
    <n v="71000"/>
    <n v="71000"/>
    <n v="0.05"/>
    <n v="3550"/>
    <n v="28400"/>
    <n v="95850"/>
    <n v="24850"/>
    <s v="Atharv Agarwal"/>
    <s v="Large"/>
    <x v="12"/>
    <s v="Sonipat"/>
    <s v="EMI "/>
    <x v="1"/>
  </r>
  <r>
    <s v="ORD1188"/>
    <d v="2025-01-29T00:00:00"/>
    <s v="C188"/>
    <s v="P188"/>
    <n v="1"/>
    <n v="72000"/>
    <n v="72000"/>
    <n v="0.12"/>
    <n v="8640"/>
    <n v="28800"/>
    <n v="92160"/>
    <n v="20160"/>
    <s v="Anika Saxena"/>
    <s v="Large"/>
    <x v="3"/>
    <s v="Gurugram"/>
    <s v="EMI "/>
    <x v="1"/>
  </r>
  <r>
    <s v="ORD1189"/>
    <d v="2025-01-29T00:00:00"/>
    <s v="C189"/>
    <s v="P189"/>
    <n v="1"/>
    <n v="73000"/>
    <n v="73000"/>
    <n v="0.15"/>
    <n v="10950"/>
    <n v="29200"/>
    <n v="91250"/>
    <n v="18250"/>
    <s v="Dhruv Tiwari"/>
    <s v="Large"/>
    <x v="3"/>
    <s v="Baghpat"/>
    <s v="EMI "/>
    <x v="1"/>
  </r>
  <r>
    <s v="ORD1190"/>
    <d v="2025-01-29T00:00:00"/>
    <s v="C190"/>
    <s v="P190"/>
    <n v="1"/>
    <n v="74000"/>
    <n v="74000"/>
    <n v="0.12"/>
    <n v="8880"/>
    <n v="29600"/>
    <n v="94720"/>
    <n v="20720"/>
    <s v="Saanvi Sinha"/>
    <s v="Large"/>
    <x v="3"/>
    <s v="Kanpur"/>
    <s v="EMI "/>
    <x v="1"/>
  </r>
  <r>
    <s v="ORD1191"/>
    <d v="2025-01-30T00:00:00"/>
    <s v="C191"/>
    <s v="P191"/>
    <n v="1"/>
    <n v="75000"/>
    <n v="75000"/>
    <n v="0.15"/>
    <n v="11250"/>
    <n v="30000"/>
    <n v="93750"/>
    <n v="18750"/>
    <s v="Rudra Banerjee"/>
    <s v="Large"/>
    <x v="3"/>
    <s v="Kolkata"/>
    <s v="EMI "/>
    <x v="1"/>
  </r>
  <r>
    <s v="ORD1192"/>
    <d v="2025-01-30T00:00:00"/>
    <s v="C192"/>
    <s v="P192"/>
    <n v="1"/>
    <n v="76000"/>
    <n v="76000"/>
    <n v="0.15"/>
    <n v="11400"/>
    <n v="30400"/>
    <n v="95000"/>
    <n v="19000"/>
    <s v="Navya Vohra"/>
    <s v="Large"/>
    <x v="3"/>
    <s v="Hampi"/>
    <s v="EMI "/>
    <x v="1"/>
  </r>
  <r>
    <s v="ORD1193"/>
    <d v="2025-01-30T00:00:00"/>
    <s v="C193"/>
    <s v="P193"/>
    <n v="1"/>
    <n v="77000"/>
    <n v="77000"/>
    <n v="0.156"/>
    <n v="12012"/>
    <n v="30800"/>
    <n v="95788"/>
    <n v="18788"/>
    <s v="Ayush Sharma"/>
    <s v="Large"/>
    <x v="3"/>
    <s v="Gurugram"/>
    <s v="EMI "/>
    <x v="1"/>
  </r>
  <r>
    <s v="ORD1194"/>
    <d v="2025-01-30T00:00:00"/>
    <s v="C194"/>
    <s v="P194"/>
    <n v="1"/>
    <n v="78000"/>
    <n v="78000"/>
    <n v="0.16200000000000001"/>
    <n v="12636"/>
    <n v="31200"/>
    <n v="96564"/>
    <n v="18564"/>
    <s v="Tanya Bansal"/>
    <s v="Large"/>
    <x v="3"/>
    <s v="Noida"/>
    <s v="EMI "/>
    <x v="1"/>
  </r>
  <r>
    <s v="ORD1195"/>
    <d v="2025-01-30T00:00:00"/>
    <s v="C195"/>
    <s v="P195"/>
    <n v="1"/>
    <n v="79000"/>
    <n v="79000"/>
    <n v="0.16800000000000001"/>
    <n v="13272"/>
    <n v="31600"/>
    <n v="97328"/>
    <n v="18328"/>
    <s v="Arnav Chopra"/>
    <s v="Large"/>
    <x v="3"/>
    <s v="Delhi"/>
    <s v="EMI "/>
    <x v="1"/>
  </r>
  <r>
    <s v="ORD1196"/>
    <d v="2025-01-30T00:00:00"/>
    <s v="C196"/>
    <s v="P196"/>
    <n v="1"/>
    <n v="80000"/>
    <n v="80000"/>
    <n v="0.17399999999999999"/>
    <n v="13919.999999999998"/>
    <n v="32000"/>
    <n v="98080"/>
    <n v="18080"/>
    <s v="Ira Sethi"/>
    <s v="Large"/>
    <x v="3"/>
    <s v="Noida"/>
    <s v="Credit Card"/>
    <x v="1"/>
  </r>
  <r>
    <s v="ORD1197"/>
    <d v="2025-01-31T00:00:00"/>
    <s v="C197"/>
    <s v="P197"/>
    <n v="1"/>
    <n v="81000"/>
    <n v="81000"/>
    <n v="0.18"/>
    <n v="14580"/>
    <n v="32400"/>
    <n v="98820"/>
    <n v="17820"/>
    <s v="Shaurya Jain"/>
    <s v="Large"/>
    <x v="3"/>
    <s v="Delhi"/>
    <s v="EMI "/>
    <x v="1"/>
  </r>
  <r>
    <s v="ORD1198"/>
    <d v="2025-01-31T00:00:00"/>
    <s v="C198"/>
    <s v="P198"/>
    <n v="1"/>
    <n v="82000"/>
    <n v="82000"/>
    <n v="0.186"/>
    <n v="15252"/>
    <n v="32800"/>
    <n v="99548"/>
    <n v="17548"/>
    <s v="Mahi Mukherjee"/>
    <s v="Large"/>
    <x v="3"/>
    <s v="Gurugram"/>
    <s v="EMI "/>
    <x v="1"/>
  </r>
  <r>
    <s v="ORD1199"/>
    <d v="2025-01-31T00:00:00"/>
    <s v="C199"/>
    <s v="P199"/>
    <n v="1"/>
    <n v="83000"/>
    <n v="83000"/>
    <n v="0.192"/>
    <n v="15936"/>
    <n v="33200"/>
    <n v="100264"/>
    <n v="17264"/>
    <s v="Parth Dubey"/>
    <s v="Industrial"/>
    <x v="3"/>
    <s v="Gurugram"/>
    <s v="EMI "/>
    <x v="1"/>
  </r>
  <r>
    <s v="ORD1200"/>
    <d v="2025-01-31T00:00:00"/>
    <s v="C200"/>
    <s v="P200"/>
    <n v="1"/>
    <n v="84000"/>
    <n v="84000"/>
    <n v="0.01"/>
    <n v="840"/>
    <n v="33600"/>
    <n v="116760"/>
    <n v="32760"/>
    <s v="Aanya Naidu"/>
    <s v="Industrial"/>
    <x v="3"/>
    <s v="Surat"/>
    <s v="EMI "/>
    <x v="1"/>
  </r>
</pivotCacheRecords>
</file>

<file path=xl/pivotCache/pivotCacheRecords1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ORD1001"/>
    <d v="2025-01-12T00:00:00"/>
    <s v="C001"/>
    <s v="P001"/>
    <n v="4"/>
    <n v="899"/>
    <n v="3596"/>
    <n v="0.1"/>
    <n v="359.6"/>
    <n v="1438.4"/>
    <n v="4674.7999999999993"/>
    <n v="1078.7999999999993"/>
    <s v="Aarav Mehta"/>
    <s v="Micro"/>
    <x v="0"/>
    <s v="Agartala"/>
    <x v="0"/>
    <s v="Delivered"/>
  </r>
  <r>
    <s v="ORD1002"/>
    <d v="2025-01-12T00:00:00"/>
    <s v="C002"/>
    <s v="P002"/>
    <n v="5"/>
    <n v="649"/>
    <n v="3245"/>
    <n v="0.02"/>
    <n v="64.900000000000006"/>
    <n v="1298"/>
    <n v="4478.1000000000004"/>
    <n v="1233.1000000000004"/>
    <s v="Aditi Patel"/>
    <s v="Micro"/>
    <x v="0"/>
    <s v="Agra"/>
    <x v="1"/>
    <s v="Delivered"/>
  </r>
  <r>
    <s v="ORD1003"/>
    <d v="2025-01-12T00:00:00"/>
    <s v="C003"/>
    <s v="P003"/>
    <n v="6"/>
    <n v="125"/>
    <n v="750"/>
    <n v="0"/>
    <n v="0"/>
    <n v="300"/>
    <n v="1050"/>
    <n v="300"/>
    <s v="Arjun Khanna"/>
    <s v="Micro"/>
    <x v="0"/>
    <s v="Ahmedabad"/>
    <x v="2"/>
    <s v="Delivered"/>
  </r>
  <r>
    <s v="ORD1004"/>
    <d v="2025-01-12T00:00:00"/>
    <s v="C004"/>
    <s v="P004"/>
    <n v="7"/>
    <n v="199"/>
    <n v="1393"/>
    <n v="0"/>
    <n v="0"/>
    <n v="557.20000000000005"/>
    <n v="1950.2"/>
    <n v="557.20000000000005"/>
    <s v="Ananya Khanna"/>
    <s v="Micro"/>
    <x v="0"/>
    <s v="Aizawl"/>
    <x v="2"/>
    <s v="Delivered"/>
  </r>
  <r>
    <s v="ORD1005"/>
    <d v="2025-01-13T00:00:00"/>
    <s v="C005"/>
    <s v="P005"/>
    <n v="2"/>
    <n v="900"/>
    <n v="1800"/>
    <n v="0.15"/>
    <n v="270"/>
    <n v="720"/>
    <n v="2250"/>
    <n v="450"/>
    <s v="Aditya Kulkarni"/>
    <s v="Micro"/>
    <x v="1"/>
    <s v="Ajmer"/>
    <x v="2"/>
    <s v="Delivered"/>
  </r>
  <r>
    <s v="ORD1006"/>
    <d v="2025-01-13T00:00:00"/>
    <s v="C006"/>
    <s v="P006"/>
    <n v="3"/>
    <n v="1200"/>
    <n v="3600"/>
    <n v="0.15"/>
    <n v="540"/>
    <n v="1440"/>
    <n v="4500"/>
    <n v="900"/>
    <s v="Ishita Yadav"/>
    <s v="Micro"/>
    <x v="2"/>
    <s v="Aligarh "/>
    <x v="2"/>
    <s v="Delivered"/>
  </r>
  <r>
    <s v="ORD1007"/>
    <d v="2025-01-13T00:00:00"/>
    <s v="C007"/>
    <s v="P007"/>
    <n v="4"/>
    <n v="800"/>
    <n v="3200"/>
    <n v="0.15"/>
    <n v="480"/>
    <n v="1280"/>
    <n v="4000"/>
    <n v="800"/>
    <s v="Kabir Mathur"/>
    <s v="Micro"/>
    <x v="3"/>
    <s v="Amravati"/>
    <x v="2"/>
    <s v="Delivered"/>
  </r>
  <r>
    <s v="ORD1008"/>
    <d v="2025-01-13T00:00:00"/>
    <s v="C008"/>
    <s v="P008"/>
    <n v="5"/>
    <n v="700"/>
    <n v="3500"/>
    <n v="0.15"/>
    <n v="525"/>
    <n v="1400"/>
    <n v="4375"/>
    <n v="875"/>
    <s v="Meera Gupta"/>
    <s v="Micro"/>
    <x v="0"/>
    <s v="Amritsar"/>
    <x v="2"/>
    <s v="Delivered"/>
  </r>
  <r>
    <s v="ORD1009"/>
    <d v="2025-01-14T00:00:00"/>
    <s v="C009"/>
    <s v="P009"/>
    <n v="1"/>
    <n v="600"/>
    <n v="600"/>
    <n v="0.15"/>
    <n v="90"/>
    <n v="240"/>
    <n v="750"/>
    <n v="150"/>
    <s v="Rohan Iyer"/>
    <s v="Micro"/>
    <x v="0"/>
    <s v="Aurangabad"/>
    <x v="2"/>
    <s v="Delivered"/>
  </r>
  <r>
    <s v="ORD1010"/>
    <d v="2025-01-14T00:00:00"/>
    <s v="C010"/>
    <s v="P010"/>
    <n v="3"/>
    <n v="3000"/>
    <n v="9000"/>
    <n v="0.15"/>
    <n v="1350"/>
    <n v="3600"/>
    <n v="11250"/>
    <n v="2250"/>
    <s v="Priya Mishra"/>
    <s v="Medium"/>
    <x v="4"/>
    <s v="Bangalore"/>
    <x v="2"/>
    <s v="Delivered"/>
  </r>
  <r>
    <s v="ORD1011"/>
    <d v="2025-01-14T00:00:00"/>
    <s v="C011"/>
    <s v="P011"/>
    <n v="5"/>
    <n v="2500"/>
    <n v="12500"/>
    <n v="0.2"/>
    <n v="2500"/>
    <n v="5000"/>
    <n v="15000"/>
    <n v="2500"/>
    <s v="Rahul Pandey"/>
    <s v="Medium"/>
    <x v="5"/>
    <s v="Bareilly"/>
    <x v="0"/>
    <s v="Pending"/>
  </r>
  <r>
    <s v="ORD1012"/>
    <d v="2025-01-14T00:00:00"/>
    <s v="C012"/>
    <s v="P012"/>
    <n v="7"/>
    <n v="2300"/>
    <n v="16100"/>
    <n v="0.2"/>
    <n v="3220"/>
    <n v="6440"/>
    <n v="19320"/>
    <n v="3220"/>
    <s v="Sneha Srivastava"/>
    <s v="Medium"/>
    <x v="6"/>
    <s v="Chandigarh"/>
    <x v="0"/>
    <s v="Delivered"/>
  </r>
  <r>
    <s v="ORD1013"/>
    <d v="2025-01-14T00:00:00"/>
    <s v="C013"/>
    <s v="P013"/>
    <n v="9"/>
    <n v="2100"/>
    <n v="18900"/>
    <n v="0.2"/>
    <n v="3780"/>
    <n v="7560"/>
    <n v="22680"/>
    <n v="3780"/>
    <s v="Vihaan Dutta"/>
    <s v="Medium"/>
    <x v="6"/>
    <s v="Chennai"/>
    <x v="0"/>
    <s v="Pending"/>
  </r>
  <r>
    <s v="ORD1014"/>
    <d v="2025-01-14T00:00:00"/>
    <s v="C014"/>
    <s v="P014"/>
    <n v="11"/>
    <n v="1900"/>
    <n v="20900"/>
    <n v="0.2"/>
    <n v="4180"/>
    <n v="8360"/>
    <n v="25080"/>
    <n v="4180"/>
    <s v="Diya Sood"/>
    <s v="Medium"/>
    <x v="7"/>
    <s v="Coimbatore"/>
    <x v="0"/>
    <s v="Pending"/>
  </r>
  <r>
    <s v="ORD1015"/>
    <d v="2025-01-14T00:00:00"/>
    <s v="C015"/>
    <s v="P015"/>
    <n v="13"/>
    <n v="250"/>
    <n v="3250"/>
    <n v="0.2"/>
    <n v="650"/>
    <n v="1300"/>
    <n v="3900"/>
    <n v="650"/>
    <s v="Karan Verma"/>
    <s v="Micro"/>
    <x v="7"/>
    <s v="Dehradun"/>
    <x v="0"/>
    <s v="Delivered"/>
  </r>
  <r>
    <s v="ORD1016"/>
    <d v="2025-01-14T00:00:00"/>
    <s v="C016"/>
    <s v="P016"/>
    <n v="15"/>
    <n v="1300"/>
    <n v="19500"/>
    <n v="0.2"/>
    <n v="3900"/>
    <n v="7800"/>
    <n v="23400"/>
    <n v="3900"/>
    <s v="Neha Agarwal"/>
    <s v="Medium"/>
    <x v="7"/>
    <s v="Dharamshala"/>
    <x v="0"/>
    <s v="Pending"/>
  </r>
  <r>
    <s v="ORD1017"/>
    <d v="2025-01-14T00:00:00"/>
    <s v="C017"/>
    <s v="P017"/>
    <n v="17"/>
    <n v="3100"/>
    <n v="52700"/>
    <n v="0.2"/>
    <n v="10540"/>
    <n v="21080"/>
    <n v="63240"/>
    <n v="10540"/>
    <s v="Aryan Saxena"/>
    <s v="Large"/>
    <x v="7"/>
    <s v="Faridabad"/>
    <x v="0"/>
    <s v="Delivered"/>
  </r>
  <r>
    <s v="ORD1018"/>
    <d v="2025-01-14T00:00:00"/>
    <s v="C018"/>
    <s v="P018"/>
    <n v="19"/>
    <n v="1200"/>
    <n v="22800"/>
    <n v="0.2"/>
    <n v="4560"/>
    <n v="9120"/>
    <n v="27360"/>
    <n v="4560"/>
    <s v="Kavya Tiwari"/>
    <s v="Medium"/>
    <x v="8"/>
    <s v="Kanpur"/>
    <x v="0"/>
    <s v="Pending"/>
  </r>
  <r>
    <s v="ORD1019"/>
    <d v="2025-01-14T00:00:00"/>
    <s v="C019"/>
    <s v="P019"/>
    <n v="21"/>
    <n v="1100"/>
    <n v="23100"/>
    <n v="0.2"/>
    <n v="4620"/>
    <n v="9240"/>
    <n v="27720"/>
    <n v="4620"/>
    <s v="Yash Sinha"/>
    <s v="Medium"/>
    <x v="9"/>
    <s v="Gurugram"/>
    <x v="0"/>
    <s v="Pending"/>
  </r>
  <r>
    <s v="ORD1020"/>
    <d v="2025-01-14T00:00:00"/>
    <s v="C020"/>
    <s v="P020"/>
    <n v="5"/>
    <n v="2000"/>
    <n v="10000"/>
    <n v="0.1"/>
    <n v="1000"/>
    <n v="4000"/>
    <n v="13000"/>
    <n v="3000"/>
    <s v="Riya Banerjee"/>
    <s v="Medium"/>
    <x v="10"/>
    <s v="Kolkata"/>
    <x v="0"/>
    <s v="Pending"/>
  </r>
  <r>
    <s v="ORD1021"/>
    <d v="2025-01-15T00:00:00"/>
    <s v="C021"/>
    <s v="P021"/>
    <n v="3"/>
    <n v="3000"/>
    <n v="9000"/>
    <n v="0.05"/>
    <n v="450"/>
    <n v="3600"/>
    <n v="12150"/>
    <n v="3150"/>
    <s v="Dev Vohra"/>
    <s v="Medium"/>
    <x v="11"/>
    <s v="Amravati"/>
    <x v="3"/>
    <s v="Delivered"/>
  </r>
  <r>
    <s v="ORD1022"/>
    <d v="2025-01-15T00:00:00"/>
    <s v="C022"/>
    <s v="P022"/>
    <n v="2"/>
    <n v="200"/>
    <n v="400"/>
    <n v="0"/>
    <n v="0"/>
    <n v="160"/>
    <n v="560"/>
    <n v="160"/>
    <s v="Nisha Sharma"/>
    <s v="Micro"/>
    <x v="3"/>
    <s v="Rohtak"/>
    <x v="2"/>
    <s v="Delivered"/>
  </r>
  <r>
    <s v="ORD1023"/>
    <d v="2025-01-15T00:00:00"/>
    <s v="C023"/>
    <s v="P023"/>
    <n v="1"/>
    <n v="8000"/>
    <n v="8000"/>
    <n v="0.08"/>
    <n v="640"/>
    <n v="3200"/>
    <n v="10560"/>
    <n v="2560"/>
    <s v="Siddharth Bansal"/>
    <s v="Medium"/>
    <x v="3"/>
    <s v="Jind"/>
    <x v="0"/>
    <s v="Pending"/>
  </r>
  <r>
    <s v="ORD1024"/>
    <d v="2025-01-15T00:00:00"/>
    <s v="C024"/>
    <s v="P024"/>
    <n v="4"/>
    <n v="1250"/>
    <n v="5000"/>
    <n v="0.02"/>
    <n v="100"/>
    <n v="2000"/>
    <n v="6900"/>
    <n v="1900"/>
    <s v="Pooja Chopra"/>
    <s v="Small"/>
    <x v="3"/>
    <s v="Rohtak"/>
    <x v="2"/>
    <s v="Pending"/>
  </r>
  <r>
    <s v="ORD1025"/>
    <d v="2025-01-15T00:00:00"/>
    <s v="C025"/>
    <s v="P025"/>
    <n v="2"/>
    <n v="3000"/>
    <n v="6000"/>
    <n v="0.05"/>
    <n v="300"/>
    <n v="2400"/>
    <n v="8100"/>
    <n v="2100"/>
    <s v="Varun Sethi"/>
    <s v="Small"/>
    <x v="8"/>
    <s v="Gurugram"/>
    <x v="0"/>
    <s v="Pending"/>
  </r>
  <r>
    <s v="ORD1026"/>
    <d v="2025-01-16T00:00:00"/>
    <s v="C026"/>
    <s v="P026"/>
    <n v="4"/>
    <n v="4000"/>
    <n v="16000"/>
    <n v="0.1"/>
    <n v="1600"/>
    <n v="6400"/>
    <n v="20800"/>
    <n v="4800"/>
    <s v="Simran Jain"/>
    <s v="Medium"/>
    <x v="6"/>
    <s v="Faridabad"/>
    <x v="3"/>
    <s v="Pending"/>
  </r>
  <r>
    <s v="ORD1027"/>
    <d v="2025-01-17T00:00:00"/>
    <s v="C027"/>
    <s v="P027"/>
    <n v="2"/>
    <n v="5000"/>
    <n v="10000"/>
    <n v="0"/>
    <n v="0"/>
    <n v="4000"/>
    <n v="14000"/>
    <n v="4000"/>
    <s v="Aniket Mukherjee"/>
    <s v="Medium"/>
    <x v="12"/>
    <s v="Gurugram"/>
    <x v="0"/>
    <s v="Delivered"/>
  </r>
  <r>
    <s v="ORD1028"/>
    <d v="2025-01-18T00:00:00"/>
    <s v="C028"/>
    <s v="P028"/>
    <n v="6"/>
    <n v="6000"/>
    <n v="36000"/>
    <n v="0.25"/>
    <n v="9000"/>
    <n v="14400"/>
    <n v="41400"/>
    <n v="5400"/>
    <s v="Tanvi Dubey"/>
    <s v="Large"/>
    <x v="4"/>
    <s v="Gurugram"/>
    <x v="4"/>
    <s v="Delivered"/>
  </r>
  <r>
    <s v="ORD1029"/>
    <d v="2025-01-19T00:00:00"/>
    <s v="C029"/>
    <s v="P029"/>
    <n v="3"/>
    <n v="12000"/>
    <n v="36000"/>
    <n v="0.1"/>
    <n v="3600"/>
    <n v="14400"/>
    <n v="46800"/>
    <n v="10800"/>
    <s v="Manav Naidu"/>
    <s v="Large"/>
    <x v="13"/>
    <s v="Bangalore"/>
    <x v="3"/>
    <s v="Pending"/>
  </r>
  <r>
    <s v="ORD1030"/>
    <d v="2025-01-20T00:00:00"/>
    <s v="C030"/>
    <s v="P030"/>
    <n v="2"/>
    <n v="15000"/>
    <n v="30000"/>
    <n v="0.25"/>
    <n v="7500"/>
    <n v="12000"/>
    <n v="34500"/>
    <n v="4500"/>
    <s v="Shreya Malhotra"/>
    <s v="Large"/>
    <x v="1"/>
    <s v="Bangalore"/>
    <x v="4"/>
    <s v="Pending"/>
  </r>
  <r>
    <s v="ORD1031"/>
    <d v="2025-01-21T00:00:00"/>
    <s v="C031"/>
    <s v="P031"/>
    <n v="1"/>
    <n v="31000"/>
    <n v="31000"/>
    <n v="0.25"/>
    <n v="7750"/>
    <n v="12400"/>
    <n v="35650"/>
    <n v="4650"/>
    <s v="Vivaan Joshi"/>
    <s v="Large"/>
    <x v="3"/>
    <s v="Delhi"/>
    <x v="4"/>
    <s v="Pending"/>
  </r>
  <r>
    <s v="ORD1032"/>
    <d v="2025-01-22T00:00:00"/>
    <s v="C032"/>
    <s v="P032"/>
    <n v="7"/>
    <n v="700"/>
    <n v="4900"/>
    <n v="0.05"/>
    <n v="245"/>
    <n v="1960"/>
    <n v="6615"/>
    <n v="1715"/>
    <s v="Avni Chawla"/>
    <s v="Small"/>
    <x v="14"/>
    <s v="Delhi"/>
    <x v="2"/>
    <s v="Delivered"/>
  </r>
  <r>
    <s v="ORD1033"/>
    <d v="2025-01-22T00:00:00"/>
    <s v="C033"/>
    <s v="P033"/>
    <n v="8"/>
    <n v="1000"/>
    <n v="8000"/>
    <n v="0.05"/>
    <n v="400"/>
    <n v="3200"/>
    <n v="10800"/>
    <n v="2800"/>
    <s v="Reyansh Goyal"/>
    <s v="Medium"/>
    <x v="3"/>
    <s v="Delhi"/>
    <x v="0"/>
    <s v="Delivered"/>
  </r>
  <r>
    <s v="ORD1034"/>
    <d v="2025-01-22T00:00:00"/>
    <s v="C034"/>
    <s v="P034"/>
    <n v="9"/>
    <n v="900"/>
    <n v="8100"/>
    <n v="0"/>
    <n v="0"/>
    <n v="3240"/>
    <n v="11340"/>
    <n v="3240"/>
    <s v="Myra Pillai"/>
    <s v="Medium"/>
    <x v="3"/>
    <s v="Delhi"/>
    <x v="0"/>
    <s v="Pending"/>
  </r>
  <r>
    <s v="ORD1035"/>
    <d v="2025-01-23T00:00:00"/>
    <s v="C035"/>
    <s v="P035"/>
    <n v="10"/>
    <n v="10000"/>
    <n v="100000"/>
    <n v="0.15"/>
    <n v="15000"/>
    <n v="40000"/>
    <n v="125000"/>
    <n v="25000"/>
    <s v="Krish Tripathi"/>
    <s v="Industrial"/>
    <x v="3"/>
    <s v="Delhi"/>
    <x v="0"/>
    <s v="Pending"/>
  </r>
  <r>
    <s v="ORD1036"/>
    <d v="2025-01-23T00:00:00"/>
    <s v="C036"/>
    <s v="P036"/>
    <n v="11"/>
    <n v="1200"/>
    <n v="13200"/>
    <n v="0.1"/>
    <n v="1320"/>
    <n v="5280"/>
    <n v="17160"/>
    <n v="3960"/>
    <s v="Kiara Bhatt"/>
    <s v="Medium"/>
    <x v="11"/>
    <s v="Delhi"/>
    <x v="0"/>
    <s v="Pending"/>
  </r>
  <r>
    <s v="ORD1037"/>
    <d v="2025-01-23T00:00:00"/>
    <s v="C037"/>
    <s v="P037"/>
    <n v="12"/>
    <n v="2400"/>
    <n v="28800"/>
    <n v="0.12"/>
    <n v="3456"/>
    <n v="11520"/>
    <n v="36864"/>
    <n v="8064"/>
    <s v="Atharv Kapoor"/>
    <s v="Large"/>
    <x v="11"/>
    <s v="Delhi"/>
    <x v="0"/>
    <s v="Delivered"/>
  </r>
  <r>
    <s v="ORD1038"/>
    <d v="2025-01-23T00:00:00"/>
    <s v="C038"/>
    <s v="P038"/>
    <n v="13"/>
    <n v="2600"/>
    <n v="33800"/>
    <n v="0.14000000000000001"/>
    <n v="4732"/>
    <n v="13520"/>
    <n v="42588"/>
    <n v="8788"/>
    <s v="Anika Nair"/>
    <s v="Large"/>
    <x v="3"/>
    <s v="Delhi"/>
    <x v="0"/>
    <s v="Delivered"/>
  </r>
  <r>
    <s v="ORD1039"/>
    <d v="2025-01-23T00:00:00"/>
    <s v="C039"/>
    <s v="P039"/>
    <n v="14"/>
    <n v="2800"/>
    <n v="39200"/>
    <n v="0.16"/>
    <n v="6272"/>
    <n v="15680"/>
    <n v="48608"/>
    <n v="9408"/>
    <s v="Dhruv Rao"/>
    <s v="Large"/>
    <x v="15"/>
    <s v="Delhi"/>
    <x v="0"/>
    <s v="Delivered"/>
  </r>
  <r>
    <s v="ORD1040"/>
    <d v="2025-01-23T00:00:00"/>
    <s v="C040"/>
    <s v="P040"/>
    <n v="11"/>
    <n v="1175"/>
    <n v="12925"/>
    <n v="0.1"/>
    <n v="1292.5"/>
    <n v="5170"/>
    <n v="16802.5"/>
    <n v="3877.5"/>
    <s v="Saanvi Bhatia"/>
    <s v="Medium"/>
    <x v="7"/>
    <s v="Delhi"/>
    <x v="0"/>
    <s v="Delivered"/>
  </r>
  <r>
    <s v="ORD1041"/>
    <d v="2025-01-24T00:00:00"/>
    <s v="C041"/>
    <s v="P041"/>
    <n v="1"/>
    <n v="45000"/>
    <n v="45000"/>
    <n v="0.25"/>
    <n v="11250"/>
    <n v="18000"/>
    <n v="51750"/>
    <n v="6750"/>
    <s v="Rudra Menon"/>
    <s v="Large"/>
    <x v="13"/>
    <s v="Delhi"/>
    <x v="0"/>
    <s v="Delivered"/>
  </r>
  <r>
    <s v="ORD1042"/>
    <d v="2025-01-24T00:00:00"/>
    <s v="C042"/>
    <s v="P042"/>
    <n v="2"/>
    <n v="70000"/>
    <n v="140000"/>
    <n v="0.25"/>
    <n v="35000"/>
    <n v="56000"/>
    <n v="161000"/>
    <n v="21000"/>
    <s v="Navya Shukla"/>
    <s v="Wholesale"/>
    <x v="6"/>
    <s v="Gurugram"/>
    <x v="4"/>
    <s v="Delivered"/>
  </r>
  <r>
    <s v="ORD1043"/>
    <d v="2025-01-24T00:00:00"/>
    <s v="C043"/>
    <s v="P043"/>
    <n v="3"/>
    <n v="13000"/>
    <n v="39000"/>
    <n v="0.1"/>
    <n v="3900"/>
    <n v="15600"/>
    <n v="50700"/>
    <n v="11700"/>
    <s v="Ayush Ahuja"/>
    <s v="Large"/>
    <x v="6"/>
    <s v="Gurugram"/>
    <x v="5"/>
    <s v="Delivered"/>
  </r>
  <r>
    <s v="ORD1044"/>
    <d v="2025-01-24T00:00:00"/>
    <s v="C044"/>
    <s v="P044"/>
    <n v="14"/>
    <n v="14000"/>
    <n v="196000"/>
    <n v="0.15"/>
    <n v="29400"/>
    <n v="78400"/>
    <n v="245000"/>
    <n v="49000"/>
    <s v="Tanya Singh"/>
    <s v="Wholesale"/>
    <x v="3"/>
    <s v="Gurugram"/>
    <x v="0"/>
    <s v="Delivered"/>
  </r>
  <r>
    <s v="ORD1045"/>
    <d v="2025-01-24T00:00:00"/>
    <s v="C045"/>
    <s v="P045"/>
    <n v="10"/>
    <n v="25000"/>
    <n v="250000"/>
    <n v="0.2"/>
    <n v="50000"/>
    <n v="100000"/>
    <n v="300000"/>
    <n v="50000"/>
    <s v="Arnav Reddy"/>
    <s v="Wholesale"/>
    <x v="3"/>
    <s v="Gurugram"/>
    <x v="0"/>
    <s v="Delivered"/>
  </r>
  <r>
    <s v="ORD1046"/>
    <d v="2025-01-24T00:00:00"/>
    <s v="C046"/>
    <s v="P046"/>
    <n v="9"/>
    <n v="1500"/>
    <n v="13500"/>
    <n v="0"/>
    <n v="0"/>
    <n v="5400"/>
    <n v="18900"/>
    <n v="5400"/>
    <s v="Ira Das"/>
    <s v="Medium"/>
    <x v="3"/>
    <s v="Gurugram"/>
    <x v="2"/>
    <s v="Delivered"/>
  </r>
  <r>
    <s v="ORD1047"/>
    <d v="2025-01-24T00:00:00"/>
    <s v="C047"/>
    <s v="P047"/>
    <n v="8"/>
    <n v="1000"/>
    <n v="8000"/>
    <n v="0"/>
    <n v="0"/>
    <n v="3200"/>
    <n v="11200"/>
    <n v="3200"/>
    <s v="Shaurya Arora"/>
    <s v="Medium"/>
    <x v="3"/>
    <s v="Gurugram"/>
    <x v="2"/>
    <s v="Delivered"/>
  </r>
  <r>
    <s v="ORD1048"/>
    <d v="2025-01-24T00:00:00"/>
    <s v="C048"/>
    <s v="P048"/>
    <n v="7"/>
    <n v="1350"/>
    <n v="9450"/>
    <n v="0"/>
    <n v="0"/>
    <n v="3780"/>
    <n v="13230"/>
    <n v="3780"/>
    <s v="Mahi Desai"/>
    <s v="Medium"/>
    <x v="4"/>
    <s v="Gurugram"/>
    <x v="2"/>
    <s v="Delivered"/>
  </r>
  <r>
    <s v="ORD1049"/>
    <d v="2025-01-24T00:00:00"/>
    <s v="C049"/>
    <s v="P049"/>
    <n v="5"/>
    <n v="2500"/>
    <n v="12500"/>
    <n v="0"/>
    <n v="0"/>
    <n v="5000"/>
    <n v="17500"/>
    <n v="5000"/>
    <s v="Parth Thakur"/>
    <s v="Medium"/>
    <x v="0"/>
    <s v="Gurugram"/>
    <x v="2"/>
    <s v="Delivered"/>
  </r>
  <r>
    <s v="ORD1050"/>
    <d v="2025-01-24T00:00:00"/>
    <s v="C050"/>
    <s v="P050"/>
    <n v="4"/>
    <n v="4000"/>
    <n v="16000"/>
    <n v="0"/>
    <n v="0"/>
    <n v="6400"/>
    <n v="22400"/>
    <n v="6400"/>
    <s v="Aanya Kohli"/>
    <s v="Medium"/>
    <x v="12"/>
    <s v="Gurugram"/>
    <x v="2"/>
    <s v="Delivered"/>
  </r>
  <r>
    <s v="ORD1051"/>
    <d v="2025-01-24T00:00:00"/>
    <s v="C051"/>
    <s v="P051"/>
    <n v="3"/>
    <n v="3000"/>
    <n v="9000"/>
    <n v="0.05"/>
    <n v="450"/>
    <n v="3600"/>
    <n v="12150"/>
    <n v="3150"/>
    <s v="Aarav Singh"/>
    <s v="Medium"/>
    <x v="6"/>
    <s v="Gurugram"/>
    <x v="0"/>
    <s v="Delivered"/>
  </r>
  <r>
    <s v="ORD1052"/>
    <d v="2025-01-24T00:00:00"/>
    <s v="C052"/>
    <s v="P052"/>
    <n v="2"/>
    <n v="30000"/>
    <n v="60000"/>
    <n v="0.1"/>
    <n v="6000"/>
    <n v="24000"/>
    <n v="78000"/>
    <n v="18000"/>
    <s v="Aditi Reddy"/>
    <s v="Large"/>
    <x v="3"/>
    <s v="Gurugram"/>
    <x v="0"/>
    <s v="Pending"/>
  </r>
  <r>
    <s v="ORD1053"/>
    <d v="2025-01-24T00:00:00"/>
    <s v="C053"/>
    <s v="P053"/>
    <n v="1"/>
    <n v="15000"/>
    <n v="15000"/>
    <n v="7.0000000000000007E-2"/>
    <n v="1050"/>
    <n v="6000"/>
    <n v="19950"/>
    <n v="4950"/>
    <s v="Arjun Das"/>
    <s v="Medium"/>
    <x v="3"/>
    <s v="Gurugram"/>
    <x v="4"/>
    <s v="Pending"/>
  </r>
  <r>
    <s v="ORD1054"/>
    <d v="2025-01-24T00:00:00"/>
    <s v="C054"/>
    <s v="P054"/>
    <n v="11"/>
    <n v="800"/>
    <n v="8800"/>
    <n v="0.05"/>
    <n v="440"/>
    <n v="3520"/>
    <n v="11880"/>
    <n v="3080"/>
    <s v="Ananya Arora"/>
    <s v="Medium"/>
    <x v="3"/>
    <s v="Gurugram"/>
    <x v="0"/>
    <s v="Delivered"/>
  </r>
  <r>
    <s v="ORD1055"/>
    <d v="2025-01-24T00:00:00"/>
    <s v="C055"/>
    <s v="P055"/>
    <n v="12"/>
    <n v="1000"/>
    <n v="12000"/>
    <n v="0.1"/>
    <n v="1200"/>
    <n v="4800"/>
    <n v="15600"/>
    <n v="3600"/>
    <s v="Aditya Desai"/>
    <s v="Medium"/>
    <x v="3"/>
    <s v="Gurugram"/>
    <x v="0"/>
    <s v="Delivered"/>
  </r>
  <r>
    <s v="ORD1056"/>
    <d v="2025-01-24T00:00:00"/>
    <s v="C056"/>
    <s v="P056"/>
    <n v="12"/>
    <n v="1200"/>
    <n v="14400"/>
    <n v="7.0000000000000007E-2"/>
    <n v="1008.0000000000001"/>
    <n v="5760"/>
    <n v="19152"/>
    <n v="4752"/>
    <s v="Ishita Thakur"/>
    <s v="Medium"/>
    <x v="3"/>
    <s v="Gurugram"/>
    <x v="4"/>
    <s v="Delivered"/>
  </r>
  <r>
    <s v="ORD1057"/>
    <d v="2025-01-24T00:00:00"/>
    <s v="C057"/>
    <s v="P057"/>
    <n v="13"/>
    <n v="3600"/>
    <n v="46800"/>
    <n v="0.25"/>
    <n v="11700"/>
    <n v="18720"/>
    <n v="53820"/>
    <n v="7020"/>
    <s v="Kabir Kohli"/>
    <s v="Large"/>
    <x v="3"/>
    <s v="Gurugram"/>
    <x v="0"/>
    <s v="Pending"/>
  </r>
  <r>
    <s v="ORD1058"/>
    <d v="2025-01-24T00:00:00"/>
    <s v="C058"/>
    <s v="P058"/>
    <n v="14"/>
    <n v="4500"/>
    <n v="63000"/>
    <n v="0.05"/>
    <n v="3150"/>
    <n v="25200"/>
    <n v="85050"/>
    <n v="22050"/>
    <s v="Meera Mehta"/>
    <s v="Large"/>
    <x v="11"/>
    <s v="Gurugram"/>
    <x v="5"/>
    <s v="Pending"/>
  </r>
  <r>
    <s v="ORD1059"/>
    <d v="2025-01-24T00:00:00"/>
    <s v="C059"/>
    <s v="P059"/>
    <n v="15"/>
    <n v="2500"/>
    <n v="37500"/>
    <n v="0.12"/>
    <n v="4500"/>
    <n v="15000"/>
    <n v="48000"/>
    <n v="10500"/>
    <s v="Rohan Patel"/>
    <s v="Large"/>
    <x v="16"/>
    <s v="Gurugram"/>
    <x v="3"/>
    <s v="Delivered"/>
  </r>
  <r>
    <s v="ORD1060"/>
    <d v="2025-01-24T00:00:00"/>
    <s v="C060"/>
    <s v="P060"/>
    <n v="16"/>
    <n v="1525"/>
    <n v="24400"/>
    <n v="0.15"/>
    <n v="3660"/>
    <n v="9760"/>
    <n v="30500"/>
    <n v="6100"/>
    <s v="Priya Khan"/>
    <s v="Large"/>
    <x v="7"/>
    <s v="Gurugram"/>
    <x v="3"/>
    <s v="Pending"/>
  </r>
  <r>
    <s v="ORD1061"/>
    <d v="2025-01-24T00:00:00"/>
    <s v="C061"/>
    <s v="P061"/>
    <n v="1"/>
    <n v="85000"/>
    <n v="85000"/>
    <n v="0.05"/>
    <n v="4250"/>
    <n v="34000"/>
    <n v="114750"/>
    <n v="29750"/>
    <s v="Rahul Khanna"/>
    <s v="Industrial"/>
    <x v="3"/>
    <s v="Gurugram"/>
    <x v="0"/>
    <s v="Delivered"/>
  </r>
  <r>
    <s v="ORD1062"/>
    <d v="2025-01-24T00:00:00"/>
    <s v="C062"/>
    <s v="P062"/>
    <n v="17"/>
    <n v="500"/>
    <n v="8500"/>
    <n v="0.05"/>
    <n v="425"/>
    <n v="3400"/>
    <n v="11475"/>
    <n v="2975"/>
    <s v="Sneha Kulkarni"/>
    <s v="Medium"/>
    <x v="0"/>
    <s v="Gurugram"/>
    <x v="2"/>
    <s v="Pending"/>
  </r>
  <r>
    <s v="ORD1063"/>
    <d v="2025-01-24T00:00:00"/>
    <s v="C063"/>
    <s v="P063"/>
    <n v="18"/>
    <n v="800"/>
    <n v="14400"/>
    <n v="0.05"/>
    <n v="720"/>
    <n v="5760"/>
    <n v="19440"/>
    <n v="5040"/>
    <s v="Vihaan Yadav"/>
    <s v="Medium"/>
    <x v="3"/>
    <s v="Gurugram"/>
    <x v="2"/>
    <s v="Pending"/>
  </r>
  <r>
    <s v="ORD1064"/>
    <d v="2025-01-24T00:00:00"/>
    <s v="C064"/>
    <s v="P064"/>
    <n v="18"/>
    <n v="1000"/>
    <n v="18000"/>
    <n v="0.05"/>
    <n v="900"/>
    <n v="7200"/>
    <n v="24300"/>
    <n v="6300"/>
    <s v="Diya Mathur"/>
    <s v="Medium"/>
    <x v="3"/>
    <s v="Gurugram"/>
    <x v="0"/>
    <s v="Pending"/>
  </r>
  <r>
    <s v="ORD1065"/>
    <d v="2025-01-24T00:00:00"/>
    <s v="C065"/>
    <s v="P065"/>
    <n v="2"/>
    <n v="30000"/>
    <n v="60000"/>
    <n v="0.1"/>
    <n v="6000"/>
    <n v="24000"/>
    <n v="78000"/>
    <n v="18000"/>
    <s v="Karan Gupta"/>
    <s v="Large"/>
    <x v="3"/>
    <s v="Gurugram"/>
    <x v="5"/>
    <s v="Pending"/>
  </r>
  <r>
    <s v="ORD1066"/>
    <d v="2025-01-24T00:00:00"/>
    <s v="C066"/>
    <s v="P066"/>
    <n v="3"/>
    <n v="4000"/>
    <n v="12000"/>
    <n v="0.1"/>
    <n v="1200"/>
    <n v="4800"/>
    <n v="15600"/>
    <n v="3600"/>
    <s v="Neha Iyer"/>
    <s v="Medium"/>
    <x v="3"/>
    <s v="Kochi"/>
    <x v="0"/>
    <s v="Pending"/>
  </r>
  <r>
    <s v="ORD1067"/>
    <d v="2025-01-24T00:00:00"/>
    <s v="C067"/>
    <s v="P067"/>
    <n v="4"/>
    <n v="5000"/>
    <n v="20000"/>
    <n v="0.1"/>
    <n v="2000"/>
    <n v="8000"/>
    <n v="26000"/>
    <n v="6000"/>
    <s v="Aryan Mishra"/>
    <s v="Medium"/>
    <x v="7"/>
    <s v="Coimbatore"/>
    <x v="0"/>
    <s v="Pending"/>
  </r>
  <r>
    <s v="ORD1068"/>
    <d v="2025-01-24T00:00:00"/>
    <s v="C068"/>
    <s v="P068"/>
    <n v="5"/>
    <n v="6000"/>
    <n v="30000"/>
    <n v="0.1"/>
    <n v="3000"/>
    <n v="12000"/>
    <n v="39000"/>
    <n v="9000"/>
    <s v="Kavya Pandey"/>
    <s v="Large"/>
    <x v="6"/>
    <s v="Kanpur"/>
    <x v="0"/>
    <s v="Pending"/>
  </r>
  <r>
    <s v="ORD1069"/>
    <d v="2025-01-24T00:00:00"/>
    <s v="C069"/>
    <s v="P069"/>
    <n v="6"/>
    <n v="1000"/>
    <n v="6000"/>
    <n v="0.05"/>
    <n v="300"/>
    <n v="2400"/>
    <n v="8100"/>
    <n v="2100"/>
    <s v="Yash Srivastava"/>
    <s v="Small"/>
    <x v="6"/>
    <s v="Kanpur"/>
    <x v="2"/>
    <s v="Pending"/>
  </r>
  <r>
    <s v="ORD1070"/>
    <d v="2025-01-24T00:00:00"/>
    <s v="C070"/>
    <s v="P070"/>
    <n v="7"/>
    <n v="800"/>
    <n v="5600"/>
    <n v="0.05"/>
    <n v="280"/>
    <n v="2240"/>
    <n v="7560"/>
    <n v="1960"/>
    <s v="Riya Dutta"/>
    <s v="Small"/>
    <x v="6"/>
    <s v="Lavasa"/>
    <x v="2"/>
    <s v="Pending"/>
  </r>
  <r>
    <s v="ORD1071"/>
    <d v="2025-01-24T00:00:00"/>
    <s v="C071"/>
    <s v="P071"/>
    <n v="8"/>
    <n v="200"/>
    <n v="1600"/>
    <n v="0"/>
    <n v="0"/>
    <n v="640"/>
    <n v="2240"/>
    <n v="640"/>
    <s v="Dev Sood"/>
    <s v="Micro"/>
    <x v="0"/>
    <s v="Ludhiana"/>
    <x v="2"/>
    <s v="Pending"/>
  </r>
  <r>
    <s v="ORD1072"/>
    <d v="2025-01-24T00:00:00"/>
    <s v="C072"/>
    <s v="P072"/>
    <n v="9"/>
    <n v="4590"/>
    <n v="41310"/>
    <n v="0.2"/>
    <n v="8262"/>
    <n v="16524"/>
    <n v="49572"/>
    <n v="8262"/>
    <s v="Nisha Verma"/>
    <s v="Large"/>
    <x v="8"/>
    <s v="Ahmedabad"/>
    <x v="2"/>
    <s v="Pending"/>
  </r>
  <r>
    <s v="ORD1073"/>
    <d v="2025-01-24T00:00:00"/>
    <s v="C073"/>
    <s v="P073"/>
    <n v="10"/>
    <n v="1375"/>
    <n v="13750"/>
    <n v="0"/>
    <n v="0"/>
    <n v="5500"/>
    <n v="19250"/>
    <n v="5500"/>
    <s v="Siddharth Agarwal"/>
    <s v="Medium"/>
    <x v="0"/>
    <s v="Faridabad"/>
    <x v="2"/>
    <s v="Pending"/>
  </r>
  <r>
    <s v="ORD1074"/>
    <d v="2025-01-24T00:00:00"/>
    <s v="C074"/>
    <s v="P074"/>
    <n v="1"/>
    <n v="30000"/>
    <n v="30000"/>
    <n v="0.05"/>
    <n v="1500"/>
    <n v="12000"/>
    <n v="40500"/>
    <n v="10500"/>
    <s v="Pooja Saxena"/>
    <s v="Large"/>
    <x v="3"/>
    <s v="Noida"/>
    <x v="2"/>
    <s v="Pending"/>
  </r>
  <r>
    <s v="ORD1075"/>
    <d v="2025-01-24T00:00:00"/>
    <s v="C075"/>
    <s v="P075"/>
    <n v="2"/>
    <n v="14000"/>
    <n v="28000"/>
    <n v="0"/>
    <n v="0"/>
    <n v="11200"/>
    <n v="39200"/>
    <n v="11200"/>
    <s v="Varun Tiwari"/>
    <s v="Large"/>
    <x v="3"/>
    <s v="Meerut"/>
    <x v="2"/>
    <s v="Pending"/>
  </r>
  <r>
    <s v="ORD1076"/>
    <d v="2025-01-24T00:00:00"/>
    <s v="C076"/>
    <s v="P076"/>
    <n v="3"/>
    <n v="1000"/>
    <n v="3000"/>
    <n v="0"/>
    <n v="0"/>
    <n v="1200"/>
    <n v="4200"/>
    <n v="1200"/>
    <s v="Simran Sinha"/>
    <s v="Micro"/>
    <x v="17"/>
    <s v="Patna"/>
    <x v="2"/>
    <s v="Delivered"/>
  </r>
  <r>
    <s v="ORD1077"/>
    <d v="2025-01-24T00:00:00"/>
    <s v="C077"/>
    <s v="P077"/>
    <n v="4"/>
    <n v="250"/>
    <n v="1000"/>
    <n v="0"/>
    <n v="0"/>
    <n v="400"/>
    <n v="1400"/>
    <n v="400"/>
    <s v="Aniket Banerjee"/>
    <s v="Micro"/>
    <x v="3"/>
    <s v="Kolkata"/>
    <x v="2"/>
    <s v="Delivered"/>
  </r>
  <r>
    <s v="ORD1078"/>
    <d v="2025-01-24T00:00:00"/>
    <s v="C078"/>
    <s v="P078"/>
    <n v="5"/>
    <n v="175"/>
    <n v="875"/>
    <n v="0"/>
    <n v="0"/>
    <n v="350"/>
    <n v="1225"/>
    <n v="350"/>
    <s v="Tanvi Vohra"/>
    <s v="Micro"/>
    <x v="7"/>
    <s v="Kolkata"/>
    <x v="1"/>
    <s v="Delivered"/>
  </r>
  <r>
    <s v="ORD1079"/>
    <d v="2025-01-24T00:00:00"/>
    <s v="C079"/>
    <s v="P079"/>
    <n v="6"/>
    <n v="500"/>
    <n v="3000"/>
    <n v="0"/>
    <n v="0"/>
    <n v="1200"/>
    <n v="4200"/>
    <n v="1200"/>
    <s v="Manav Sharma"/>
    <s v="Micro"/>
    <x v="11"/>
    <s v="Delhi"/>
    <x v="1"/>
    <s v="Delivered"/>
  </r>
  <r>
    <s v="ORD1080"/>
    <d v="2025-01-24T00:00:00"/>
    <s v="C080"/>
    <s v="P080"/>
    <n v="7"/>
    <n v="700"/>
    <n v="4900"/>
    <n v="0"/>
    <n v="0"/>
    <n v="1960"/>
    <n v="6860"/>
    <n v="1960"/>
    <s v="Shreya Bansal"/>
    <s v="Small"/>
    <x v="11"/>
    <s v="Amravati"/>
    <x v="1"/>
    <s v="Delivered"/>
  </r>
  <r>
    <s v="ORD1081"/>
    <d v="2025-01-24T00:00:00"/>
    <s v="C081"/>
    <s v="P081"/>
    <n v="8"/>
    <n v="1200"/>
    <n v="9600"/>
    <n v="0"/>
    <n v="0"/>
    <n v="3840"/>
    <n v="13440"/>
    <n v="3840"/>
    <s v="Vivaan Chopra"/>
    <s v="Medium"/>
    <x v="8"/>
    <s v="Noida"/>
    <x v="1"/>
    <s v="Pending"/>
  </r>
  <r>
    <s v="ORD1082"/>
    <d v="2025-01-24T00:00:00"/>
    <s v="C082"/>
    <s v="P082"/>
    <n v="9"/>
    <n v="900"/>
    <n v="8100"/>
    <n v="0"/>
    <n v="0"/>
    <n v="3240"/>
    <n v="11340"/>
    <n v="3240"/>
    <s v="Avni Sethi"/>
    <s v="Medium"/>
    <x v="8"/>
    <s v="Noida"/>
    <x v="1"/>
    <s v="Delivered"/>
  </r>
  <r>
    <s v="ORD1083"/>
    <d v="2025-01-24T00:00:00"/>
    <s v="C083"/>
    <s v="P083"/>
    <n v="1"/>
    <n v="105000"/>
    <n v="105000"/>
    <n v="0.05"/>
    <n v="5250"/>
    <n v="42000"/>
    <n v="141750"/>
    <n v="36750"/>
    <s v="Reyansh Jain"/>
    <s v="Wholesale"/>
    <x v="3"/>
    <s v="Gurugram"/>
    <x v="0"/>
    <s v="Pending"/>
  </r>
  <r>
    <s v="ORD1084"/>
    <d v="2025-01-24T00:00:00"/>
    <s v="C084"/>
    <s v="P084"/>
    <n v="2"/>
    <n v="12500"/>
    <n v="25000"/>
    <n v="0.15"/>
    <n v="3750"/>
    <n v="10000"/>
    <n v="31250"/>
    <n v="6250"/>
    <s v="Myra Mukherjee"/>
    <s v="Large"/>
    <x v="12"/>
    <s v="Gurugram"/>
    <x v="0"/>
    <s v="Pending"/>
  </r>
  <r>
    <s v="ORD1085"/>
    <d v="2025-01-24T00:00:00"/>
    <s v="C085"/>
    <s v="P085"/>
    <n v="3"/>
    <n v="350"/>
    <n v="1050"/>
    <n v="0"/>
    <n v="0"/>
    <n v="420"/>
    <n v="1470"/>
    <n v="420"/>
    <s v="Krish Dubey"/>
    <s v="Micro"/>
    <x v="18"/>
    <s v="Gurugram"/>
    <x v="1"/>
    <s v="Delivered"/>
  </r>
  <r>
    <s v="ORD1086"/>
    <d v="2025-01-24T00:00:00"/>
    <s v="C086"/>
    <s v="P086"/>
    <n v="4"/>
    <n v="650"/>
    <n v="2600"/>
    <n v="0"/>
    <n v="0"/>
    <n v="1040"/>
    <n v="3640"/>
    <n v="1040"/>
    <s v="Kiara Naidu"/>
    <s v="Micro"/>
    <x v="18"/>
    <s v="Chennai"/>
    <x v="1"/>
    <s v="Delivered"/>
  </r>
  <r>
    <s v="ORD1087"/>
    <d v="2025-01-24T00:00:00"/>
    <s v="C087"/>
    <s v="P087"/>
    <n v="5"/>
    <n v="1450"/>
    <n v="7250"/>
    <n v="0.1"/>
    <n v="725"/>
    <n v="2900"/>
    <n v="9425"/>
    <n v="2175"/>
    <s v="Atharv Malhotra"/>
    <s v="Small"/>
    <x v="19"/>
    <s v="Noida"/>
    <x v="0"/>
    <s v="Delivered"/>
  </r>
  <r>
    <s v="ORD1088"/>
    <d v="2025-01-24T00:00:00"/>
    <s v="C088"/>
    <s v="P088"/>
    <n v="7"/>
    <n v="2500"/>
    <n v="17500"/>
    <n v="0.1"/>
    <n v="1750"/>
    <n v="7000"/>
    <n v="22750"/>
    <n v="5250"/>
    <s v="Anika Joshi"/>
    <s v="Medium"/>
    <x v="19"/>
    <s v="Mumbai"/>
    <x v="0"/>
    <s v="Delivered"/>
  </r>
  <r>
    <s v="ORD1089"/>
    <d v="2025-01-24T00:00:00"/>
    <s v="C089"/>
    <s v="P089"/>
    <n v="8"/>
    <n v="799"/>
    <n v="6392"/>
    <n v="0"/>
    <n v="0"/>
    <n v="2556.8000000000002"/>
    <n v="8948.7999999999993"/>
    <n v="2556.7999999999993"/>
    <s v="Dhruv Chawla"/>
    <s v="Small"/>
    <x v="3"/>
    <s v="Delhi"/>
    <x v="1"/>
    <s v="Pending"/>
  </r>
  <r>
    <s v="ORD1090"/>
    <d v="2025-01-24T00:00:00"/>
    <s v="C090"/>
    <s v="P090"/>
    <n v="8"/>
    <n v="1200"/>
    <n v="9600"/>
    <n v="0.05"/>
    <n v="480"/>
    <n v="3840"/>
    <n v="12960"/>
    <n v="3360"/>
    <s v="Saanvi Goyal"/>
    <s v="Medium"/>
    <x v="3"/>
    <s v="Gurugram"/>
    <x v="1"/>
    <s v="Pending"/>
  </r>
  <r>
    <s v="ORD1091"/>
    <d v="2025-01-24T00:00:00"/>
    <s v="C091"/>
    <s v="P091"/>
    <n v="8"/>
    <n v="3450"/>
    <n v="27600"/>
    <n v="0.1"/>
    <n v="2760"/>
    <n v="11040"/>
    <n v="35880"/>
    <n v="8280"/>
    <s v="Rudra Pillai"/>
    <s v="Large"/>
    <x v="3"/>
    <s v="Coimbatore"/>
    <x v="0"/>
    <s v="Pending"/>
  </r>
  <r>
    <s v="ORD1092"/>
    <d v="2025-01-24T00:00:00"/>
    <s v="C092"/>
    <s v="P092"/>
    <n v="9"/>
    <n v="8100"/>
    <n v="72900"/>
    <n v="0.1"/>
    <n v="7290"/>
    <n v="29160"/>
    <n v="94770"/>
    <n v="21870"/>
    <s v="Navya Tripathi"/>
    <s v="Large"/>
    <x v="18"/>
    <s v="Ghaziabad"/>
    <x v="0"/>
    <s v="Pending"/>
  </r>
  <r>
    <s v="ORD1093"/>
    <d v="2025-01-24T00:00:00"/>
    <s v="C093"/>
    <s v="P093"/>
    <n v="6"/>
    <n v="550"/>
    <n v="3300"/>
    <n v="0"/>
    <n v="0"/>
    <n v="1320"/>
    <n v="4620"/>
    <n v="1320"/>
    <s v="Ayush Bhatt"/>
    <s v="Micro"/>
    <x v="0"/>
    <s v="Delhi"/>
    <x v="0"/>
    <s v="Pending"/>
  </r>
  <r>
    <s v="ORD1094"/>
    <d v="2025-01-25T00:00:00"/>
    <s v="C094"/>
    <s v="P094"/>
    <n v="5"/>
    <n v="1200"/>
    <n v="6000"/>
    <n v="0"/>
    <n v="0"/>
    <n v="2400"/>
    <n v="8400"/>
    <n v="2400"/>
    <s v="Tanya Kapoor"/>
    <s v="Small"/>
    <x v="3"/>
    <s v="Pune"/>
    <x v="1"/>
    <s v="Pending"/>
  </r>
  <r>
    <s v="ORD1095"/>
    <d v="2025-01-25T00:00:00"/>
    <s v="C095"/>
    <s v="P095"/>
    <n v="4"/>
    <n v="200"/>
    <n v="800"/>
    <n v="0"/>
    <n v="0"/>
    <n v="320"/>
    <n v="1120"/>
    <n v="320"/>
    <s v="Arnav Nair"/>
    <s v="Micro"/>
    <x v="0"/>
    <s v="Delhi"/>
    <x v="1"/>
    <s v="Pending"/>
  </r>
  <r>
    <s v="ORD1096"/>
    <d v="2025-01-25T00:00:00"/>
    <s v="C096"/>
    <s v="P096"/>
    <n v="3"/>
    <n v="550"/>
    <n v="1650"/>
    <n v="0"/>
    <n v="0"/>
    <n v="660"/>
    <n v="2310"/>
    <n v="660"/>
    <s v="Ira Rao"/>
    <s v="Micro"/>
    <x v="5"/>
    <s v="Jammu"/>
    <x v="1"/>
    <s v="Pending"/>
  </r>
  <r>
    <s v="ORD1097"/>
    <d v="2025-01-25T00:00:00"/>
    <s v="C097"/>
    <s v="P097"/>
    <n v="3"/>
    <n v="650"/>
    <n v="1950"/>
    <n v="0"/>
    <n v="0"/>
    <n v="780"/>
    <n v="2730"/>
    <n v="780"/>
    <s v="Shaurya Bhatia"/>
    <s v="Micro"/>
    <x v="3"/>
    <s v="Karnal"/>
    <x v="1"/>
    <s v="Pending"/>
  </r>
  <r>
    <s v="ORD1098"/>
    <d v="2025-01-25T00:00:00"/>
    <s v="C098"/>
    <s v="P098"/>
    <n v="8"/>
    <n v="3000"/>
    <n v="24000"/>
    <n v="0"/>
    <n v="0"/>
    <n v="9600"/>
    <n v="33600"/>
    <n v="9600"/>
    <s v="Mahi Menon"/>
    <s v="Large"/>
    <x v="3"/>
    <s v="Jaipur"/>
    <x v="0"/>
    <s v="Pending"/>
  </r>
  <r>
    <s v="ORD1099"/>
    <d v="2025-01-25T00:00:00"/>
    <s v="C099"/>
    <s v="P099"/>
    <n v="7"/>
    <n v="700"/>
    <n v="4900"/>
    <n v="0"/>
    <n v="0"/>
    <n v="1960"/>
    <n v="6860"/>
    <n v="1960"/>
    <s v="Parth Shukla"/>
    <s v="Small"/>
    <x v="0"/>
    <s v="Jaipur"/>
    <x v="1"/>
    <s v="Pending"/>
  </r>
  <r>
    <s v="ORD1100"/>
    <d v="2025-01-25T00:00:00"/>
    <s v="C100"/>
    <s v="P100"/>
    <n v="6"/>
    <n v="14500"/>
    <n v="87000"/>
    <n v="0.25"/>
    <n v="21750"/>
    <n v="34800"/>
    <n v="100050"/>
    <n v="13050"/>
    <s v="Aanya Ahuja"/>
    <s v="Industrial"/>
    <x v="3"/>
    <s v="Delhi"/>
    <x v="0"/>
    <s v="Pending"/>
  </r>
  <r>
    <s v="ORD1101"/>
    <d v="2025-01-25T00:00:00"/>
    <s v="C101"/>
    <s v="P101"/>
    <n v="5"/>
    <n v="12500"/>
    <n v="62500"/>
    <n v="0.2"/>
    <n v="12500"/>
    <n v="25000"/>
    <n v="75000"/>
    <n v="12500"/>
    <s v="Aarav Kapoor"/>
    <s v="Large"/>
    <x v="3"/>
    <s v="Delhi"/>
    <x v="0"/>
    <s v="Pending"/>
  </r>
  <r>
    <s v="ORD1102"/>
    <d v="2025-01-25T00:00:00"/>
    <s v="C102"/>
    <s v="P102"/>
    <n v="4"/>
    <n v="10500"/>
    <n v="42000"/>
    <n v="0.15"/>
    <n v="6300"/>
    <n v="16800"/>
    <n v="52500"/>
    <n v="10500"/>
    <s v="Aditi Nair"/>
    <s v="Large"/>
    <x v="3"/>
    <s v="Kochi"/>
    <x v="0"/>
    <s v="Pending"/>
  </r>
  <r>
    <s v="ORD1103"/>
    <d v="2025-01-25T00:00:00"/>
    <s v="C103"/>
    <s v="P103"/>
    <n v="5"/>
    <n v="25000"/>
    <n v="125000"/>
    <n v="0.15"/>
    <n v="18750"/>
    <n v="50000"/>
    <n v="156250"/>
    <n v="31250"/>
    <s v="Arjun Rao"/>
    <s v="Wholesale"/>
    <x v="3"/>
    <s v="pune"/>
    <x v="4"/>
    <s v="Pending"/>
  </r>
  <r>
    <s v="ORD1104"/>
    <d v="2025-01-25T00:00:00"/>
    <s v="C104"/>
    <s v="P104"/>
    <n v="3"/>
    <n v="12000"/>
    <n v="36000"/>
    <n v="0.1"/>
    <n v="3600"/>
    <n v="14400"/>
    <n v="46800"/>
    <n v="10800"/>
    <s v="Ananya Bhatia"/>
    <s v="Large"/>
    <x v="3"/>
    <s v="Delhi"/>
    <x v="5"/>
    <s v="Pending"/>
  </r>
  <r>
    <s v="ORD1105"/>
    <d v="2025-01-25T00:00:00"/>
    <s v="C105"/>
    <s v="P105"/>
    <n v="2"/>
    <n v="20000"/>
    <n v="40000"/>
    <n v="0.25"/>
    <n v="10000"/>
    <n v="16000"/>
    <n v="46000"/>
    <n v="6000"/>
    <s v="Aditya Menon"/>
    <s v="Large"/>
    <x v="3"/>
    <s v="ghaziabad"/>
    <x v="0"/>
    <s v="Pending"/>
  </r>
  <r>
    <s v="ORD1106"/>
    <d v="2025-01-25T00:00:00"/>
    <s v="C106"/>
    <s v="P106"/>
    <n v="3"/>
    <n v="30000"/>
    <n v="90000"/>
    <n v="0.16"/>
    <n v="14400"/>
    <n v="36000"/>
    <n v="111600"/>
    <n v="21600"/>
    <s v="Ishita Shukla"/>
    <s v="Industrial"/>
    <x v="3"/>
    <s v="Faridabad"/>
    <x v="4"/>
    <s v="Pending"/>
  </r>
  <r>
    <s v="ORD1107"/>
    <d v="2025-01-25T00:00:00"/>
    <s v="C107"/>
    <s v="P107"/>
    <n v="4"/>
    <n v="40000"/>
    <n v="160000"/>
    <n v="0.05"/>
    <n v="8000"/>
    <n v="64000"/>
    <n v="216000"/>
    <n v="56000"/>
    <s v="Kabir Ahuja"/>
    <s v="Wholesale"/>
    <x v="3"/>
    <s v="Gurugram"/>
    <x v="4"/>
    <s v="Pending"/>
  </r>
  <r>
    <s v="ORD1108"/>
    <d v="2025-01-25T00:00:00"/>
    <s v="C108"/>
    <s v="P108"/>
    <n v="4"/>
    <n v="32000"/>
    <n v="128000"/>
    <n v="0.05"/>
    <n v="6400"/>
    <n v="51200"/>
    <n v="172800"/>
    <n v="44800"/>
    <s v="Meera Singh"/>
    <s v="Wholesale"/>
    <x v="3"/>
    <s v="Delhi"/>
    <x v="5"/>
    <s v="Pending"/>
  </r>
  <r>
    <s v="ORD1109"/>
    <d v="2025-01-25T00:00:00"/>
    <s v="C109"/>
    <s v="P109"/>
    <n v="2"/>
    <n v="70000"/>
    <n v="140000"/>
    <n v="0.05"/>
    <n v="7000"/>
    <n v="56000"/>
    <n v="189000"/>
    <n v="49000"/>
    <s v="Rohan Reddy"/>
    <s v="Wholesale"/>
    <x v="3"/>
    <s v="Bangalore"/>
    <x v="5"/>
    <s v="Pending"/>
  </r>
  <r>
    <s v="ORD1110"/>
    <d v="2025-01-25T00:00:00"/>
    <s v="C110"/>
    <s v="P110"/>
    <n v="11"/>
    <n v="15600"/>
    <n v="171600"/>
    <n v="0.1"/>
    <n v="17160"/>
    <n v="68640"/>
    <n v="223080"/>
    <n v="51480"/>
    <s v="Priya Das"/>
    <s v="Wholesale"/>
    <x v="3"/>
    <s v="Kolkata"/>
    <x v="4"/>
    <s v="Pending"/>
  </r>
  <r>
    <s v="ORD1111"/>
    <d v="2025-01-25T00:00:00"/>
    <s v="C111"/>
    <s v="P111"/>
    <n v="22"/>
    <n v="25000"/>
    <n v="550000"/>
    <n v="0.25"/>
    <n v="137500"/>
    <n v="220000"/>
    <n v="632500"/>
    <n v="82500"/>
    <s v="Rahul Arora"/>
    <s v="Wholesale"/>
    <x v="3"/>
    <s v="Gurugram"/>
    <x v="3"/>
    <s v="Pending"/>
  </r>
  <r>
    <s v="ORD1112"/>
    <d v="2025-01-25T00:00:00"/>
    <s v="C112"/>
    <s v="P112"/>
    <n v="13"/>
    <n v="14000"/>
    <n v="182000"/>
    <n v="0.1"/>
    <n v="18200"/>
    <n v="72800"/>
    <n v="236600"/>
    <n v="54600"/>
    <s v="Sneha Desai"/>
    <s v="Wholesale"/>
    <x v="20"/>
    <s v="Ghaziabad"/>
    <x v="3"/>
    <s v="Pending"/>
  </r>
  <r>
    <s v="ORD1113"/>
    <d v="2025-01-25T00:00:00"/>
    <s v="C113"/>
    <s v="P113"/>
    <n v="15"/>
    <n v="7500"/>
    <n v="112500"/>
    <n v="0.05"/>
    <n v="5625"/>
    <n v="45000"/>
    <n v="151875"/>
    <n v="39375"/>
    <s v="Vihaan Thakur"/>
    <s v="Wholesale"/>
    <x v="20"/>
    <s v="Faridabad"/>
    <x v="5"/>
    <s v="Pending"/>
  </r>
  <r>
    <s v="ORD1114"/>
    <d v="2025-01-25T00:00:00"/>
    <s v="C114"/>
    <s v="P114"/>
    <n v="15"/>
    <n v="4500"/>
    <n v="67500"/>
    <n v="0.1"/>
    <n v="6750"/>
    <n v="27000"/>
    <n v="87750"/>
    <n v="20250"/>
    <s v="Diya Kohli"/>
    <s v="Large"/>
    <x v="20"/>
    <s v="Delhi"/>
    <x v="4"/>
    <s v="Pending"/>
  </r>
  <r>
    <s v="ORD1115"/>
    <d v="2025-01-25T00:00:00"/>
    <s v="C115"/>
    <s v="P115"/>
    <n v="16"/>
    <n v="1450"/>
    <n v="23200"/>
    <n v="0.05"/>
    <n v="1160"/>
    <n v="9280"/>
    <n v="31320"/>
    <n v="8120"/>
    <s v="Karan Mehta"/>
    <s v="Large"/>
    <x v="20"/>
    <s v="Surat"/>
    <x v="1"/>
    <s v="Pending"/>
  </r>
  <r>
    <s v="ORD1116"/>
    <d v="2025-01-25T00:00:00"/>
    <s v="C116"/>
    <s v="P116"/>
    <n v="2"/>
    <n v="12500"/>
    <n v="25000"/>
    <n v="0.15"/>
    <n v="3750"/>
    <n v="10000"/>
    <n v="31250"/>
    <n v="6250"/>
    <s v="Neha Patel"/>
    <s v="Large"/>
    <x v="3"/>
    <s v="Surat"/>
    <x v="0"/>
    <s v="Pending"/>
  </r>
  <r>
    <s v="ORD1117"/>
    <d v="2025-01-25T00:00:00"/>
    <s v="C117"/>
    <s v="P117"/>
    <n v="3"/>
    <n v="3500"/>
    <n v="10500"/>
    <n v="0"/>
    <n v="0"/>
    <n v="4200"/>
    <n v="14700"/>
    <n v="4200"/>
    <s v="Aryan Khan"/>
    <s v="Medium"/>
    <x v="3"/>
    <s v="Mumbai"/>
    <x v="0"/>
    <s v="Pending"/>
  </r>
  <r>
    <s v="ORD1118"/>
    <d v="2025-01-25T00:00:00"/>
    <s v="C118"/>
    <s v="P118"/>
    <n v="4"/>
    <n v="124500"/>
    <n v="498000"/>
    <n v="0.15"/>
    <n v="74700"/>
    <n v="199200"/>
    <n v="622500"/>
    <n v="124500"/>
    <s v="Kavya Khanna"/>
    <s v="Wholesale"/>
    <x v="3"/>
    <s v="Delhi"/>
    <x v="0"/>
    <s v="Delivered"/>
  </r>
  <r>
    <s v="ORD1119"/>
    <d v="2025-01-25T00:00:00"/>
    <s v="C119"/>
    <s v="P119"/>
    <n v="5"/>
    <n v="15200"/>
    <n v="76000"/>
    <n v="0.05"/>
    <n v="3800"/>
    <n v="30400"/>
    <n v="102600"/>
    <n v="26600"/>
    <s v="Yash Kulkarni"/>
    <s v="Industrial"/>
    <x v="3"/>
    <s v="Karnal"/>
    <x v="1"/>
    <s v="Delivered"/>
  </r>
  <r>
    <s v="ORD1120"/>
    <d v="2025-01-25T00:00:00"/>
    <s v="C120"/>
    <s v="P120"/>
    <n v="6"/>
    <n v="23565"/>
    <n v="141390"/>
    <n v="0.15"/>
    <n v="21208.5"/>
    <n v="56556"/>
    <n v="176737.5"/>
    <n v="35347.5"/>
    <s v="Riya Yadav"/>
    <s v="Wholesale"/>
    <x v="3"/>
    <s v="Jind"/>
    <x v="0"/>
    <s v="Delivered"/>
  </r>
  <r>
    <s v="ORD1121"/>
    <d v="2025-01-26T00:00:00"/>
    <s v="C121"/>
    <s v="P121"/>
    <n v="7"/>
    <n v="70000"/>
    <n v="490000"/>
    <n v="0.25"/>
    <n v="122500"/>
    <n v="196000"/>
    <n v="563500"/>
    <n v="73500"/>
    <s v="Dev Mathur"/>
    <s v="Wholesale"/>
    <x v="3"/>
    <s v="Rohtak"/>
    <x v="0"/>
    <s v="Delivered"/>
  </r>
  <r>
    <s v="ORD1122"/>
    <d v="2025-01-26T00:00:00"/>
    <s v="C122"/>
    <s v="P122"/>
    <n v="8"/>
    <n v="8000"/>
    <n v="64000"/>
    <n v="0.15"/>
    <n v="9600"/>
    <n v="25600"/>
    <n v="80000"/>
    <n v="16000"/>
    <s v="Nisha Gupta"/>
    <s v="Large"/>
    <x v="19"/>
    <s v="Varanasi"/>
    <x v="0"/>
    <s v="Delivered"/>
  </r>
  <r>
    <s v="ORD1123"/>
    <d v="2025-01-26T00:00:00"/>
    <s v="C123"/>
    <s v="P123"/>
    <n v="9"/>
    <n v="11000"/>
    <n v="99000"/>
    <n v="0.25"/>
    <n v="24750"/>
    <n v="39600"/>
    <n v="113850"/>
    <n v="14850"/>
    <s v="Siddharth Iyer"/>
    <s v="Industrial"/>
    <x v="19"/>
    <s v="Vishakhapatnam"/>
    <x v="0"/>
    <s v="Delivered"/>
  </r>
  <r>
    <s v="ORD1124"/>
    <d v="2025-01-26T00:00:00"/>
    <s v="C124"/>
    <s v="P124"/>
    <n v="8"/>
    <n v="14000"/>
    <n v="112000"/>
    <n v="0.15"/>
    <n v="16800"/>
    <n v="44800"/>
    <n v="140000"/>
    <n v="28000"/>
    <s v="Pooja Mishra"/>
    <s v="Wholesale"/>
    <x v="19"/>
    <s v="Ayodhya"/>
    <x v="0"/>
    <s v="Delivered"/>
  </r>
  <r>
    <s v="ORD1125"/>
    <d v="2025-01-26T00:00:00"/>
    <s v="C125"/>
    <s v="P125"/>
    <n v="9"/>
    <n v="17000"/>
    <n v="153000"/>
    <n v="0.25"/>
    <n v="38250"/>
    <n v="61200"/>
    <n v="175950"/>
    <n v="22950"/>
    <s v="Varun Pandey"/>
    <s v="Wholesale"/>
    <x v="19"/>
    <s v="Ayodhya"/>
    <x v="4"/>
    <s v="Delivered"/>
  </r>
  <r>
    <s v="ORD1126"/>
    <d v="2025-01-26T00:00:00"/>
    <s v="C126"/>
    <s v="P126"/>
    <n v="8"/>
    <n v="20000"/>
    <n v="160000"/>
    <n v="0.15"/>
    <n v="24000"/>
    <n v="64000"/>
    <n v="200000"/>
    <n v="40000"/>
    <s v="Simran Srivastava"/>
    <s v="Wholesale"/>
    <x v="21"/>
    <s v="Ghaziabad"/>
    <x v="4"/>
    <s v="Delivered"/>
  </r>
  <r>
    <s v="ORD1127"/>
    <d v="2025-01-26T00:00:00"/>
    <s v="C127"/>
    <s v="P127"/>
    <n v="9"/>
    <n v="23000"/>
    <n v="207000"/>
    <n v="0.25"/>
    <n v="51750"/>
    <n v="82800"/>
    <n v="238050"/>
    <n v="31050"/>
    <s v="Aniket Dutta"/>
    <s v="Wholesale"/>
    <x v="19"/>
    <s v="Noida"/>
    <x v="4"/>
    <s v="Delivered"/>
  </r>
  <r>
    <s v="ORD1128"/>
    <d v="2025-01-26T00:00:00"/>
    <s v="C128"/>
    <s v="P128"/>
    <n v="8"/>
    <n v="26000"/>
    <n v="208000"/>
    <n v="0.15"/>
    <n v="31200"/>
    <n v="83200"/>
    <n v="260000"/>
    <n v="52000"/>
    <s v="Tanvi Sood"/>
    <s v="Wholesale"/>
    <x v="19"/>
    <s v="Chandigarh"/>
    <x v="4"/>
    <s v="Delivered"/>
  </r>
  <r>
    <s v="ORD1129"/>
    <d v="2025-01-26T00:00:00"/>
    <s v="C129"/>
    <s v="P129"/>
    <n v="9"/>
    <n v="29000"/>
    <n v="261000"/>
    <n v="0.25"/>
    <n v="65250"/>
    <n v="104400"/>
    <n v="300150"/>
    <n v="39150"/>
    <s v="Manav Verma"/>
    <s v="Wholesale"/>
    <x v="19"/>
    <s v="Chandigarh"/>
    <x v="4"/>
    <s v="Delivered"/>
  </r>
  <r>
    <s v="ORD1130"/>
    <d v="2025-01-26T00:00:00"/>
    <s v="C130"/>
    <s v="P130"/>
    <n v="9"/>
    <n v="32000"/>
    <n v="288000"/>
    <n v="0.15"/>
    <n v="43200"/>
    <n v="115200"/>
    <n v="360000"/>
    <n v="72000"/>
    <s v="Shreya Agarwal"/>
    <s v="Wholesale"/>
    <x v="3"/>
    <s v="Delhi"/>
    <x v="4"/>
    <s v="Pending"/>
  </r>
  <r>
    <s v="ORD1131"/>
    <d v="2025-01-26T00:00:00"/>
    <s v="C131"/>
    <s v="P131"/>
    <n v="9"/>
    <n v="35000"/>
    <n v="315000"/>
    <n v="0.02"/>
    <n v="6300"/>
    <n v="126000"/>
    <n v="434700"/>
    <n v="119700"/>
    <s v="Vivaan Saxena"/>
    <s v="Wholesale"/>
    <x v="19"/>
    <s v="Delhi"/>
    <x v="4"/>
    <s v="Pending"/>
  </r>
  <r>
    <s v="ORD1132"/>
    <d v="2025-01-26T00:00:00"/>
    <s v="C132"/>
    <s v="P132"/>
    <n v="8"/>
    <n v="38000"/>
    <n v="304000"/>
    <n v="0.02"/>
    <n v="6080"/>
    <n v="121600"/>
    <n v="419520"/>
    <n v="115520"/>
    <s v="Avni Tiwari"/>
    <s v="Wholesale"/>
    <x v="8"/>
    <s v="Delhi"/>
    <x v="4"/>
    <s v="Pending"/>
  </r>
  <r>
    <s v="ORD1133"/>
    <d v="2025-01-26T00:00:00"/>
    <s v="C133"/>
    <s v="P133"/>
    <n v="7"/>
    <n v="41000"/>
    <n v="287000"/>
    <n v="0.2"/>
    <n v="57400"/>
    <n v="114800"/>
    <n v="344400"/>
    <n v="57400"/>
    <s v="Reyansh Sinha"/>
    <s v="Wholesale"/>
    <x v="8"/>
    <s v="Delhi"/>
    <x v="4"/>
    <s v="Pending"/>
  </r>
  <r>
    <s v="ORD1134"/>
    <d v="2025-01-26T00:00:00"/>
    <s v="C134"/>
    <s v="P134"/>
    <n v="2"/>
    <n v="47500"/>
    <n v="95000"/>
    <n v="0.1"/>
    <n v="9500"/>
    <n v="38000"/>
    <n v="123500"/>
    <n v="28500"/>
    <s v="Myra Banerjee"/>
    <s v="Industrial"/>
    <x v="8"/>
    <s v="Kolkata"/>
    <x v="4"/>
    <s v="Pending"/>
  </r>
  <r>
    <s v="ORD1135"/>
    <d v="2025-01-26T00:00:00"/>
    <s v="C135"/>
    <s v="P135"/>
    <n v="2"/>
    <n v="49000"/>
    <n v="98000"/>
    <n v="0.15"/>
    <n v="14700"/>
    <n v="39200"/>
    <n v="122500"/>
    <n v="24500"/>
    <s v="Krish Vohra"/>
    <s v="Industrial"/>
    <x v="8"/>
    <s v="Mumbai"/>
    <x v="4"/>
    <s v="Pending"/>
  </r>
  <r>
    <s v="ORD1136"/>
    <d v="2025-01-26T00:00:00"/>
    <s v="C136"/>
    <s v="P136"/>
    <n v="2"/>
    <n v="51500"/>
    <n v="103000"/>
    <n v="0.2"/>
    <n v="20600"/>
    <n v="41200"/>
    <n v="123600"/>
    <n v="20600"/>
    <s v="Kiara Sharma"/>
    <s v="Industrial"/>
    <x v="8"/>
    <s v="Pune"/>
    <x v="0"/>
    <s v="Pending"/>
  </r>
  <r>
    <s v="ORD1137"/>
    <d v="2025-01-26T00:00:00"/>
    <s v="C137"/>
    <s v="P137"/>
    <n v="1"/>
    <n v="70000"/>
    <n v="70000"/>
    <n v="0.125"/>
    <n v="8750"/>
    <n v="28000"/>
    <n v="89250"/>
    <n v="19250"/>
    <s v="Atharv Bansal"/>
    <s v="Large"/>
    <x v="3"/>
    <s v="Chandigarh"/>
    <x v="4"/>
    <s v="Pending"/>
  </r>
  <r>
    <s v="ORD1138"/>
    <d v="2025-01-26T00:00:00"/>
    <s v="C138"/>
    <s v="P138"/>
    <n v="1"/>
    <n v="81000"/>
    <n v="81000"/>
    <n v="0.2"/>
    <n v="16200"/>
    <n v="32400"/>
    <n v="97200"/>
    <n v="16200"/>
    <s v="Anika Chopra"/>
    <s v="Large"/>
    <x v="3"/>
    <s v="Noida"/>
    <x v="4"/>
    <s v="Pending"/>
  </r>
  <r>
    <s v="ORD1139"/>
    <d v="2025-01-26T00:00:00"/>
    <s v="C139"/>
    <s v="P139"/>
    <n v="2"/>
    <n v="56000"/>
    <n v="112000"/>
    <n v="0.25"/>
    <n v="28000"/>
    <n v="44800"/>
    <n v="128800"/>
    <n v="16800"/>
    <s v="Dhruv Sethi"/>
    <s v="Wholesale"/>
    <x v="19"/>
    <s v="Ghaziabad"/>
    <x v="4"/>
    <s v="Pending"/>
  </r>
  <r>
    <s v="ORD1140"/>
    <d v="2025-01-26T00:00:00"/>
    <s v="C140"/>
    <s v="P140"/>
    <n v="1"/>
    <n v="35000"/>
    <n v="35000"/>
    <n v="0.05"/>
    <n v="1750"/>
    <n v="14000"/>
    <n v="47250"/>
    <n v="12250"/>
    <s v="Saanvi Jain"/>
    <s v="Large"/>
    <x v="3"/>
    <s v="Kanpur"/>
    <x v="0"/>
    <s v="Pending"/>
  </r>
  <r>
    <s v="ORD1141"/>
    <d v="2025-01-26T00:00:00"/>
    <s v="C141"/>
    <s v="P141"/>
    <n v="3"/>
    <n v="24500"/>
    <n v="73500"/>
    <n v="0.12"/>
    <n v="8820"/>
    <n v="29400"/>
    <n v="94080"/>
    <n v="20580"/>
    <s v="Rudra Mukherjee"/>
    <s v="Large"/>
    <x v="20"/>
    <s v="Aurangabad"/>
    <x v="4"/>
    <s v="Pending"/>
  </r>
  <r>
    <s v="ORD1142"/>
    <d v="2025-01-26T00:00:00"/>
    <s v="C142"/>
    <s v="P142"/>
    <n v="1"/>
    <n v="245000"/>
    <n v="245000"/>
    <n v="0.25"/>
    <n v="61250"/>
    <n v="98000"/>
    <n v="281750"/>
    <n v="36750"/>
    <s v="Navya Dubey"/>
    <s v="Wholesale"/>
    <x v="3"/>
    <s v="Aligarh "/>
    <x v="4"/>
    <s v="Pending"/>
  </r>
  <r>
    <s v="ORD1143"/>
    <d v="2025-01-26T00:00:00"/>
    <s v="C143"/>
    <s v="P143"/>
    <n v="2"/>
    <n v="34599"/>
    <n v="69198"/>
    <n v="0.25"/>
    <n v="17299.5"/>
    <n v="27679.200000000001"/>
    <n v="79577.7"/>
    <n v="10379.699999999997"/>
    <s v="Ayush Naidu"/>
    <s v="Large"/>
    <x v="3"/>
    <s v="Vizag"/>
    <x v="4"/>
    <s v="Pending"/>
  </r>
  <r>
    <s v="ORD1144"/>
    <d v="2025-01-26T00:00:00"/>
    <s v="C144"/>
    <s v="P144"/>
    <n v="3"/>
    <n v="45612"/>
    <n v="136836"/>
    <n v="0.2"/>
    <n v="27367.200000000001"/>
    <n v="54734.400000000001"/>
    <n v="164203.19999999998"/>
    <n v="27367.199999999983"/>
    <s v="Tanya Malhotra"/>
    <s v="Wholesale"/>
    <x v="3"/>
    <s v="Faridabad"/>
    <x v="0"/>
    <s v="Pending"/>
  </r>
  <r>
    <s v="ORD1145"/>
    <d v="2025-01-26T00:00:00"/>
    <s v="C145"/>
    <s v="P145"/>
    <n v="4"/>
    <n v="12345"/>
    <n v="49380"/>
    <n v="0.15"/>
    <n v="7407"/>
    <n v="19752"/>
    <n v="61725"/>
    <n v="12345"/>
    <s v="Arnav Joshi"/>
    <s v="Large"/>
    <x v="8"/>
    <s v="Kannauj"/>
    <x v="4"/>
    <s v="Pending"/>
  </r>
  <r>
    <s v="ORD1146"/>
    <d v="2025-01-26T00:00:00"/>
    <s v="C146"/>
    <s v="P146"/>
    <n v="1"/>
    <n v="30000"/>
    <n v="30000"/>
    <n v="0.1"/>
    <n v="3000"/>
    <n v="12000"/>
    <n v="39000"/>
    <n v="9000"/>
    <s v="Ira Chawla"/>
    <s v="Large"/>
    <x v="3"/>
    <s v="Rohtak"/>
    <x v="4"/>
    <s v="Pending"/>
  </r>
  <r>
    <s v="ORD1147"/>
    <d v="2025-01-26T00:00:00"/>
    <s v="C147"/>
    <s v="P147"/>
    <n v="3"/>
    <n v="31000"/>
    <n v="93000"/>
    <n v="0.14000000000000001"/>
    <n v="13020.000000000002"/>
    <n v="37200"/>
    <n v="117180"/>
    <n v="24180"/>
    <s v="Shaurya Goyal"/>
    <s v="Industrial"/>
    <x v="8"/>
    <s v="Sonipat"/>
    <x v="4"/>
    <s v="Pending"/>
  </r>
  <r>
    <s v="ORD1148"/>
    <d v="2025-01-26T00:00:00"/>
    <s v="C148"/>
    <s v="P148"/>
    <n v="3"/>
    <n v="32000"/>
    <n v="96000"/>
    <n v="0.25"/>
    <n v="24000"/>
    <n v="38400"/>
    <n v="110400"/>
    <n v="14400"/>
    <s v="Mahi Pillai"/>
    <s v="Industrial"/>
    <x v="19"/>
    <s v="Vizag"/>
    <x v="4"/>
    <s v="Pending"/>
  </r>
  <r>
    <s v="ORD1149"/>
    <d v="2025-01-26T00:00:00"/>
    <s v="C149"/>
    <s v="P149"/>
    <n v="3"/>
    <n v="33000"/>
    <n v="99000"/>
    <n v="0.35"/>
    <n v="34650"/>
    <n v="39600"/>
    <n v="103950"/>
    <n v="4950"/>
    <s v="Parth Tripathi"/>
    <s v="Industrial"/>
    <x v="8"/>
    <s v="Panipat"/>
    <x v="4"/>
    <s v="Pending"/>
  </r>
  <r>
    <s v="ORD1150"/>
    <d v="2025-01-26T00:00:00"/>
    <s v="C150"/>
    <s v="P150"/>
    <n v="3"/>
    <n v="34000"/>
    <n v="102000"/>
    <n v="0.25"/>
    <n v="25500"/>
    <n v="40800"/>
    <n v="117300"/>
    <n v="15300"/>
    <s v="Aanya Bhatt"/>
    <s v="Industrial"/>
    <x v="8"/>
    <s v="Baghpat"/>
    <x v="4"/>
    <s v="Pending"/>
  </r>
  <r>
    <s v="ORD1151"/>
    <d v="2025-01-26T00:00:00"/>
    <s v="C151"/>
    <s v="P151"/>
    <n v="4"/>
    <n v="35000"/>
    <n v="140000"/>
    <n v="0.25"/>
    <n v="35000"/>
    <n v="56000"/>
    <n v="161000"/>
    <n v="21000"/>
    <s v="Aarav Malhotra"/>
    <s v="Wholesale"/>
    <x v="8"/>
    <s v="ghaziabad"/>
    <x v="0"/>
    <s v="Pending"/>
  </r>
  <r>
    <s v="ORD1152"/>
    <d v="2025-01-26T00:00:00"/>
    <s v="C152"/>
    <s v="P152"/>
    <n v="4"/>
    <n v="36000"/>
    <n v="144000"/>
    <n v="0.1"/>
    <n v="14400"/>
    <n v="57600"/>
    <n v="187200"/>
    <n v="43200"/>
    <s v="Aditi Joshi"/>
    <s v="Wholesale"/>
    <x v="8"/>
    <s v="Delhi"/>
    <x v="0"/>
    <s v="Pending"/>
  </r>
  <r>
    <s v="ORD1153"/>
    <d v="2025-01-26T00:00:00"/>
    <s v="C153"/>
    <s v="P153"/>
    <n v="4"/>
    <n v="37000"/>
    <n v="148000"/>
    <n v="0.15"/>
    <n v="22200"/>
    <n v="59200"/>
    <n v="185000"/>
    <n v="37000"/>
    <s v="Arjun Chawla"/>
    <s v="Wholesale"/>
    <x v="8"/>
    <s v="Mumbai"/>
    <x v="4"/>
    <s v="Pending"/>
  </r>
  <r>
    <s v="ORD1154"/>
    <d v="2025-01-26T00:00:00"/>
    <s v="C154"/>
    <s v="P154"/>
    <n v="4"/>
    <n v="38000"/>
    <n v="152000"/>
    <n v="0.1"/>
    <n v="15200"/>
    <n v="60800"/>
    <n v="197600"/>
    <n v="45600"/>
    <s v="Ananya Goyal"/>
    <s v="Wholesale"/>
    <x v="8"/>
    <s v="Meerut"/>
    <x v="4"/>
    <s v="Pending"/>
  </r>
  <r>
    <s v="ORD1155"/>
    <d v="2025-01-26T00:00:00"/>
    <s v="C155"/>
    <s v="P155"/>
    <n v="4"/>
    <n v="39000"/>
    <n v="156000"/>
    <n v="0.13"/>
    <n v="20280"/>
    <n v="62400"/>
    <n v="198120"/>
    <n v="42120"/>
    <s v="Aditya Pillai"/>
    <s v="Wholesale"/>
    <x v="8"/>
    <s v="Gurugram"/>
    <x v="4"/>
    <s v="Pending"/>
  </r>
  <r>
    <s v="ORD1156"/>
    <d v="2025-01-26T00:00:00"/>
    <s v="C156"/>
    <s v="P156"/>
    <n v="4"/>
    <n v="40000"/>
    <n v="160000"/>
    <n v="0.14000000000000001"/>
    <n v="22400.000000000004"/>
    <n v="64000"/>
    <n v="201600"/>
    <n v="41600"/>
    <s v="Ishita Dagar"/>
    <s v="Wholesale"/>
    <x v="8"/>
    <s v="Rohtak"/>
    <x v="3"/>
    <s v="Pending"/>
  </r>
  <r>
    <s v="ORD1157"/>
    <d v="2025-01-26T00:00:00"/>
    <s v="C157"/>
    <s v="P157"/>
    <n v="5"/>
    <n v="41000"/>
    <n v="205000"/>
    <n v="0.16"/>
    <n v="32800"/>
    <n v="82000"/>
    <n v="254200"/>
    <n v="49200"/>
    <s v="Kabir Bhatt"/>
    <s v="Wholesale"/>
    <x v="8"/>
    <s v="Srinagar"/>
    <x v="4"/>
    <s v="Pending"/>
  </r>
  <r>
    <s v="ORD1158"/>
    <d v="2025-01-26T00:00:00"/>
    <s v="C158"/>
    <s v="P158"/>
    <n v="5"/>
    <n v="42000"/>
    <n v="210000"/>
    <n v="0.12"/>
    <n v="25200"/>
    <n v="84000"/>
    <n v="268800"/>
    <n v="58800"/>
    <s v="Meera Kapoor"/>
    <s v="Wholesale"/>
    <x v="8"/>
    <s v="Srinagar"/>
    <x v="4"/>
    <s v="Pending"/>
  </r>
  <r>
    <s v="ORD1159"/>
    <d v="2025-01-26T00:00:00"/>
    <s v="C159"/>
    <s v="P159"/>
    <n v="5"/>
    <n v="43000"/>
    <n v="215000"/>
    <n v="0.11"/>
    <n v="23650"/>
    <n v="86000"/>
    <n v="277350"/>
    <n v="62350"/>
    <s v="Rohan Nair"/>
    <s v="Wholesale"/>
    <x v="8"/>
    <s v="Vizag"/>
    <x v="0"/>
    <s v="Pending"/>
  </r>
  <r>
    <s v="ORD1160"/>
    <d v="2025-01-26T00:00:00"/>
    <s v="C160"/>
    <s v="P160"/>
    <n v="5"/>
    <n v="44000"/>
    <n v="220000"/>
    <n v="0.4"/>
    <n v="88000"/>
    <n v="88000"/>
    <n v="220000"/>
    <n v="0"/>
    <s v="Priya Rao"/>
    <s v="Wholesale"/>
    <x v="8"/>
    <s v="Faridabad"/>
    <x v="4"/>
    <s v="Pending"/>
  </r>
  <r>
    <s v="ORD1161"/>
    <d v="2025-01-26T00:00:00"/>
    <s v="C161"/>
    <s v="P161"/>
    <n v="5"/>
    <n v="45000"/>
    <n v="225000"/>
    <n v="0.4"/>
    <n v="90000"/>
    <n v="90000"/>
    <n v="225000"/>
    <n v="0"/>
    <s v="Rahul Bhatia"/>
    <s v="Wholesale"/>
    <x v="8"/>
    <s v="Chandigarh"/>
    <x v="0"/>
    <s v="Pending"/>
  </r>
  <r>
    <s v="ORD1162"/>
    <d v="2025-01-26T00:00:00"/>
    <s v="C162"/>
    <s v="P162"/>
    <n v="5"/>
    <n v="46000"/>
    <n v="230000"/>
    <n v="0.4"/>
    <n v="92000"/>
    <n v="92000"/>
    <n v="230000"/>
    <n v="0"/>
    <s v="Sneha Menon"/>
    <s v="Wholesale"/>
    <x v="19"/>
    <s v="Kannauj"/>
    <x v="4"/>
    <s v="Pending"/>
  </r>
  <r>
    <s v="ORD1163"/>
    <d v="2025-01-26T00:00:00"/>
    <s v="C163"/>
    <s v="P163"/>
    <n v="5"/>
    <n v="47000"/>
    <n v="235000"/>
    <n v="0.2"/>
    <n v="47000"/>
    <n v="94000"/>
    <n v="282000"/>
    <n v="47000"/>
    <s v="Vihaan Shukla"/>
    <s v="Wholesale"/>
    <x v="19"/>
    <s v="Faridabad"/>
    <x v="4"/>
    <s v="Pending"/>
  </r>
  <r>
    <s v="ORD1164"/>
    <d v="2025-01-27T00:00:00"/>
    <s v="C164"/>
    <s v="P164"/>
    <n v="5"/>
    <n v="48000"/>
    <n v="240000"/>
    <n v="4.4999999999999998E-2"/>
    <n v="10800"/>
    <n v="96000"/>
    <n v="325200"/>
    <n v="85200"/>
    <s v="Diya Ahuja"/>
    <s v="Wholesale"/>
    <x v="19"/>
    <s v="Chandigarh"/>
    <x v="4"/>
    <s v="Pending"/>
  </r>
  <r>
    <s v="ORD1165"/>
    <d v="2025-01-27T00:00:00"/>
    <s v="C165"/>
    <s v="P165"/>
    <n v="5"/>
    <n v="49000"/>
    <n v="245000"/>
    <n v="5.5E-2"/>
    <n v="13475"/>
    <n v="98000"/>
    <n v="329525"/>
    <n v="84525"/>
    <s v="Karan Singh"/>
    <s v="Wholesale"/>
    <x v="19"/>
    <s v="Gorakhpur"/>
    <x v="4"/>
    <s v="Pending"/>
  </r>
  <r>
    <s v="ORD1166"/>
    <d v="2025-01-27T00:00:00"/>
    <s v="C166"/>
    <s v="P166"/>
    <n v="5"/>
    <n v="50000"/>
    <n v="250000"/>
    <n v="0.4"/>
    <n v="100000"/>
    <n v="100000"/>
    <n v="250000"/>
    <n v="0"/>
    <s v="Neha Reddy"/>
    <s v="Wholesale"/>
    <x v="3"/>
    <s v="Bareilly"/>
    <x v="4"/>
    <s v="Pending"/>
  </r>
  <r>
    <s v="ORD1167"/>
    <d v="2025-01-27T00:00:00"/>
    <s v="C167"/>
    <s v="P167"/>
    <n v="5"/>
    <n v="51000"/>
    <n v="255000"/>
    <n v="0.1"/>
    <n v="25500"/>
    <n v="102000"/>
    <n v="331500"/>
    <n v="76500"/>
    <s v="Aryan Das"/>
    <s v="Wholesale"/>
    <x v="3"/>
    <s v="Kolkata"/>
    <x v="4"/>
    <s v="Pending"/>
  </r>
  <r>
    <s v="ORD1168"/>
    <d v="2025-01-27T00:00:00"/>
    <s v="C168"/>
    <s v="P168"/>
    <n v="6"/>
    <n v="52000"/>
    <n v="312000"/>
    <n v="0.1"/>
    <n v="31200"/>
    <n v="124800"/>
    <n v="405600"/>
    <n v="93600"/>
    <s v="Kavya Arora"/>
    <s v="Wholesale"/>
    <x v="3"/>
    <s v="Gurugram"/>
    <x v="4"/>
    <s v="Pending"/>
  </r>
  <r>
    <s v="ORD1169"/>
    <d v="2025-01-27T00:00:00"/>
    <s v="C169"/>
    <s v="P169"/>
    <n v="6"/>
    <n v="53000"/>
    <n v="318000"/>
    <n v="0.13"/>
    <n v="41340"/>
    <n v="127200"/>
    <n v="403860"/>
    <n v="85860"/>
    <s v="Yash Desai"/>
    <s v="Wholesale"/>
    <x v="3"/>
    <s v="Gorakhpur"/>
    <x v="4"/>
    <s v="Pending"/>
  </r>
  <r>
    <s v="ORD1170"/>
    <d v="2025-01-27T00:00:00"/>
    <s v="C170"/>
    <s v="P170"/>
    <n v="7"/>
    <n v="54000"/>
    <n v="378000"/>
    <n v="0.08"/>
    <n v="30240"/>
    <n v="151200"/>
    <n v="498960"/>
    <n v="120960"/>
    <s v="Riya Thakur"/>
    <s v="Wholesale"/>
    <x v="3"/>
    <s v="Lucknow"/>
    <x v="4"/>
    <s v="Pending"/>
  </r>
  <r>
    <s v="ORD1171"/>
    <d v="2025-01-27T00:00:00"/>
    <s v="C171"/>
    <s v="P171"/>
    <n v="6"/>
    <n v="55000"/>
    <n v="330000"/>
    <n v="0.04"/>
    <n v="13200"/>
    <n v="132000"/>
    <n v="448800"/>
    <n v="118800"/>
    <s v="Dev Kohli"/>
    <s v="Wholesale"/>
    <x v="12"/>
    <s v="Faridabad"/>
    <x v="4"/>
    <s v="Pending"/>
  </r>
  <r>
    <s v="ORD1172"/>
    <d v="2025-01-27T00:00:00"/>
    <s v="C172"/>
    <s v="P172"/>
    <n v="5"/>
    <n v="56000"/>
    <n v="280000"/>
    <n v="0.05"/>
    <n v="14000"/>
    <n v="112000"/>
    <n v="378000"/>
    <n v="98000"/>
    <s v="Nishant Nagar"/>
    <s v="Wholesale"/>
    <x v="10"/>
    <s v="Baghpat"/>
    <x v="4"/>
    <s v="Pending"/>
  </r>
  <r>
    <s v="ORD1173"/>
    <d v="2025-01-27T00:00:00"/>
    <s v="C173"/>
    <s v="P173"/>
    <n v="4"/>
    <n v="57000"/>
    <n v="228000"/>
    <n v="0.1"/>
    <n v="22800"/>
    <n v="91200"/>
    <n v="296400"/>
    <n v="68400"/>
    <s v="Siddharth Patel"/>
    <s v="Wholesale"/>
    <x v="3"/>
    <s v="Surat"/>
    <x v="4"/>
    <s v="Pending"/>
  </r>
  <r>
    <s v="ORD1174"/>
    <d v="2025-01-27T00:00:00"/>
    <s v="C174"/>
    <s v="P174"/>
    <n v="3"/>
    <n v="58000"/>
    <n v="174000"/>
    <n v="0.12"/>
    <n v="20880"/>
    <n v="69600"/>
    <n v="222720"/>
    <n v="48720"/>
    <s v="Pooja Khanna"/>
    <s v="Wholesale"/>
    <x v="19"/>
    <s v="Delhi"/>
    <x v="4"/>
    <s v="Pending"/>
  </r>
  <r>
    <s v="ORD1175"/>
    <d v="2025-01-28T00:00:00"/>
    <s v="C175"/>
    <s v="P175"/>
    <n v="2"/>
    <n v="59000"/>
    <n v="118000"/>
    <n v="0.13"/>
    <n v="15340"/>
    <n v="47200"/>
    <n v="149860"/>
    <n v="31860"/>
    <s v="Varun Khanna"/>
    <s v="Wholesale"/>
    <x v="19"/>
    <s v="Delhi"/>
    <x v="4"/>
    <s v="Pending"/>
  </r>
  <r>
    <s v="ORD1176"/>
    <d v="2025-01-28T00:00:00"/>
    <s v="C176"/>
    <s v="P176"/>
    <n v="1"/>
    <n v="60000"/>
    <n v="60000"/>
    <n v="0.15"/>
    <n v="9000"/>
    <n v="24000"/>
    <n v="75000"/>
    <n v="15000"/>
    <s v="Simran Kulkarni"/>
    <s v="Large"/>
    <x v="3"/>
    <s v="Nashik"/>
    <x v="4"/>
    <s v="Pending"/>
  </r>
  <r>
    <s v="ORD1177"/>
    <d v="2025-01-28T00:00:00"/>
    <s v="C177"/>
    <s v="P177"/>
    <n v="2"/>
    <n v="61000"/>
    <n v="122000"/>
    <n v="0.2"/>
    <n v="24400"/>
    <n v="48800"/>
    <n v="146400"/>
    <n v="24400"/>
    <s v="Aniket Yadav"/>
    <s v="Wholesale"/>
    <x v="8"/>
    <s v="Vadodra"/>
    <x v="4"/>
    <s v="Pending"/>
  </r>
  <r>
    <s v="ORD1178"/>
    <d v="2025-01-28T00:00:00"/>
    <s v="C178"/>
    <s v="P178"/>
    <n v="1"/>
    <n v="62000"/>
    <n v="62000"/>
    <n v="0.2"/>
    <n v="12400"/>
    <n v="24800"/>
    <n v="74400"/>
    <n v="12400"/>
    <s v="Tanvi Mathur"/>
    <s v="Large"/>
    <x v="10"/>
    <s v="Nangloi"/>
    <x v="4"/>
    <s v="Pending"/>
  </r>
  <r>
    <s v="ORD1179"/>
    <d v="2025-01-28T00:00:00"/>
    <s v="C179"/>
    <s v="P179"/>
    <n v="1"/>
    <n v="63000"/>
    <n v="63000"/>
    <n v="0.1"/>
    <n v="6300"/>
    <n v="25200"/>
    <n v="81900"/>
    <n v="18900"/>
    <s v="Manav Gupta"/>
    <s v="Large"/>
    <x v="8"/>
    <s v="Delhi"/>
    <x v="4"/>
    <s v="Pending"/>
  </r>
  <r>
    <s v="ORD1180"/>
    <d v="2025-01-28T00:00:00"/>
    <s v="C180"/>
    <s v="P180"/>
    <n v="1"/>
    <n v="64000"/>
    <n v="64000"/>
    <n v="0.1"/>
    <n v="6400"/>
    <n v="25600"/>
    <n v="83200"/>
    <n v="19200"/>
    <s v="Shreya Iyer"/>
    <s v="Large"/>
    <x v="8"/>
    <s v="Vizag"/>
    <x v="4"/>
    <s v="Pending"/>
  </r>
  <r>
    <s v="ORD1181"/>
    <d v="2025-01-28T00:00:00"/>
    <s v="C181"/>
    <s v="P181"/>
    <n v="1"/>
    <n v="65000"/>
    <n v="65000"/>
    <n v="0.15"/>
    <n v="9750"/>
    <n v="26000"/>
    <n v="81250"/>
    <n v="16250"/>
    <s v="Vivaan Mishra"/>
    <s v="Large"/>
    <x v="8"/>
    <s v="Kannauj"/>
    <x v="4"/>
    <s v="Pending"/>
  </r>
  <r>
    <s v="ORD1182"/>
    <d v="2025-01-28T00:00:00"/>
    <s v="C182"/>
    <s v="P182"/>
    <n v="1"/>
    <n v="66000"/>
    <n v="66000"/>
    <n v="0.25"/>
    <n v="16500"/>
    <n v="26400"/>
    <n v="75900"/>
    <n v="9900"/>
    <s v="Avni Pandey"/>
    <s v="Large"/>
    <x v="8"/>
    <s v="Varanasi"/>
    <x v="0"/>
    <s v="Pending"/>
  </r>
  <r>
    <s v="ORD1183"/>
    <d v="2025-01-28T00:00:00"/>
    <s v="C183"/>
    <s v="P183"/>
    <n v="1"/>
    <n v="67000"/>
    <n v="67000"/>
    <n v="0.1"/>
    <n v="6700"/>
    <n v="26800"/>
    <n v="87100"/>
    <n v="20100"/>
    <s v="Reyansh Srivastava"/>
    <s v="Large"/>
    <x v="8"/>
    <s v="Ayodhya"/>
    <x v="0"/>
    <s v="Pending"/>
  </r>
  <r>
    <s v="ORD1184"/>
    <d v="2025-01-29T00:00:00"/>
    <s v="C184"/>
    <s v="P184"/>
    <n v="1"/>
    <n v="68000"/>
    <n v="68000"/>
    <n v="0.1"/>
    <n v="6800"/>
    <n v="27200"/>
    <n v="88400"/>
    <n v="20400"/>
    <s v="Myra Dutta"/>
    <s v="Large"/>
    <x v="8"/>
    <s v="Gorakhpur"/>
    <x v="0"/>
    <s v="Pending"/>
  </r>
  <r>
    <s v="ORD1185"/>
    <d v="2025-01-29T00:00:00"/>
    <s v="C185"/>
    <s v="P185"/>
    <n v="1"/>
    <n v="69000"/>
    <n v="69000"/>
    <n v="0.05"/>
    <n v="3450"/>
    <n v="27600"/>
    <n v="93150"/>
    <n v="24150"/>
    <s v="Krish Sood"/>
    <s v="Large"/>
    <x v="8"/>
    <s v="Amritsar"/>
    <x v="0"/>
    <s v="Pending"/>
  </r>
  <r>
    <s v="ORD1186"/>
    <d v="2025-01-29T00:00:00"/>
    <s v="C186"/>
    <s v="P186"/>
    <n v="1"/>
    <n v="70000"/>
    <n v="70000"/>
    <n v="0.1"/>
    <n v="7000"/>
    <n v="28000"/>
    <n v="91000"/>
    <n v="21000"/>
    <s v="Kiara Verma"/>
    <s v="Large"/>
    <x v="13"/>
    <s v="Panipat"/>
    <x v="4"/>
    <s v="Pending"/>
  </r>
  <r>
    <s v="ORD1187"/>
    <d v="2025-01-29T00:00:00"/>
    <s v="C187"/>
    <s v="P187"/>
    <n v="1"/>
    <n v="71000"/>
    <n v="71000"/>
    <n v="0.05"/>
    <n v="3550"/>
    <n v="28400"/>
    <n v="95850"/>
    <n v="24850"/>
    <s v="Atharv Agarwal"/>
    <s v="Large"/>
    <x v="12"/>
    <s v="Sonipat"/>
    <x v="4"/>
    <s v="Pending"/>
  </r>
  <r>
    <s v="ORD1188"/>
    <d v="2025-01-29T00:00:00"/>
    <s v="C188"/>
    <s v="P188"/>
    <n v="1"/>
    <n v="72000"/>
    <n v="72000"/>
    <n v="0.12"/>
    <n v="8640"/>
    <n v="28800"/>
    <n v="92160"/>
    <n v="20160"/>
    <s v="Anika Saxena"/>
    <s v="Large"/>
    <x v="3"/>
    <s v="Gurugram"/>
    <x v="4"/>
    <s v="Pending"/>
  </r>
  <r>
    <s v="ORD1189"/>
    <d v="2025-01-29T00:00:00"/>
    <s v="C189"/>
    <s v="P189"/>
    <n v="1"/>
    <n v="73000"/>
    <n v="73000"/>
    <n v="0.15"/>
    <n v="10950"/>
    <n v="29200"/>
    <n v="91250"/>
    <n v="18250"/>
    <s v="Dhruv Tiwari"/>
    <s v="Large"/>
    <x v="3"/>
    <s v="Baghpat"/>
    <x v="4"/>
    <s v="Pending"/>
  </r>
  <r>
    <s v="ORD1190"/>
    <d v="2025-01-29T00:00:00"/>
    <s v="C190"/>
    <s v="P190"/>
    <n v="1"/>
    <n v="74000"/>
    <n v="74000"/>
    <n v="0.12"/>
    <n v="8880"/>
    <n v="29600"/>
    <n v="94720"/>
    <n v="20720"/>
    <s v="Saanvi Sinha"/>
    <s v="Large"/>
    <x v="3"/>
    <s v="Kanpur"/>
    <x v="4"/>
    <s v="Pending"/>
  </r>
  <r>
    <s v="ORD1191"/>
    <d v="2025-01-30T00:00:00"/>
    <s v="C191"/>
    <s v="P191"/>
    <n v="1"/>
    <n v="75000"/>
    <n v="75000"/>
    <n v="0.15"/>
    <n v="11250"/>
    <n v="30000"/>
    <n v="93750"/>
    <n v="18750"/>
    <s v="Rudra Banerjee"/>
    <s v="Large"/>
    <x v="3"/>
    <s v="Kolkata"/>
    <x v="4"/>
    <s v="Pending"/>
  </r>
  <r>
    <s v="ORD1192"/>
    <d v="2025-01-30T00:00:00"/>
    <s v="C192"/>
    <s v="P192"/>
    <n v="1"/>
    <n v="76000"/>
    <n v="76000"/>
    <n v="0.15"/>
    <n v="11400"/>
    <n v="30400"/>
    <n v="95000"/>
    <n v="19000"/>
    <s v="Navya Vohra"/>
    <s v="Large"/>
    <x v="3"/>
    <s v="Hampi"/>
    <x v="4"/>
    <s v="Pending"/>
  </r>
  <r>
    <s v="ORD1193"/>
    <d v="2025-01-30T00:00:00"/>
    <s v="C193"/>
    <s v="P193"/>
    <n v="1"/>
    <n v="77000"/>
    <n v="77000"/>
    <n v="0.156"/>
    <n v="12012"/>
    <n v="30800"/>
    <n v="95788"/>
    <n v="18788"/>
    <s v="Ayush Sharma"/>
    <s v="Large"/>
    <x v="3"/>
    <s v="Gurugram"/>
    <x v="4"/>
    <s v="Pending"/>
  </r>
  <r>
    <s v="ORD1194"/>
    <d v="2025-01-30T00:00:00"/>
    <s v="C194"/>
    <s v="P194"/>
    <n v="1"/>
    <n v="78000"/>
    <n v="78000"/>
    <n v="0.16200000000000001"/>
    <n v="12636"/>
    <n v="31200"/>
    <n v="96564"/>
    <n v="18564"/>
    <s v="Tanya Bansal"/>
    <s v="Large"/>
    <x v="3"/>
    <s v="Noida"/>
    <x v="4"/>
    <s v="Pending"/>
  </r>
  <r>
    <s v="ORD1195"/>
    <d v="2025-01-30T00:00:00"/>
    <s v="C195"/>
    <s v="P195"/>
    <n v="1"/>
    <n v="79000"/>
    <n v="79000"/>
    <n v="0.16800000000000001"/>
    <n v="13272"/>
    <n v="31600"/>
    <n v="97328"/>
    <n v="18328"/>
    <s v="Arnav Chopra"/>
    <s v="Large"/>
    <x v="3"/>
    <s v="Delhi"/>
    <x v="4"/>
    <s v="Pending"/>
  </r>
  <r>
    <s v="ORD1196"/>
    <d v="2025-01-30T00:00:00"/>
    <s v="C196"/>
    <s v="P196"/>
    <n v="1"/>
    <n v="80000"/>
    <n v="80000"/>
    <n v="0.17399999999999999"/>
    <n v="13919.999999999998"/>
    <n v="32000"/>
    <n v="98080"/>
    <n v="18080"/>
    <s v="Ira Sethi"/>
    <s v="Large"/>
    <x v="3"/>
    <s v="Noida"/>
    <x v="0"/>
    <s v="Pending"/>
  </r>
  <r>
    <s v="ORD1197"/>
    <d v="2025-01-31T00:00:00"/>
    <s v="C197"/>
    <s v="P197"/>
    <n v="1"/>
    <n v="81000"/>
    <n v="81000"/>
    <n v="0.18"/>
    <n v="14580"/>
    <n v="32400"/>
    <n v="98820"/>
    <n v="17820"/>
    <s v="Shaurya Jain"/>
    <s v="Large"/>
    <x v="3"/>
    <s v="Delhi"/>
    <x v="4"/>
    <s v="Pending"/>
  </r>
  <r>
    <s v="ORD1198"/>
    <d v="2025-01-31T00:00:00"/>
    <s v="C198"/>
    <s v="P198"/>
    <n v="1"/>
    <n v="82000"/>
    <n v="82000"/>
    <n v="0.186"/>
    <n v="15252"/>
    <n v="32800"/>
    <n v="99548"/>
    <n v="17548"/>
    <s v="Mahi Mukherjee"/>
    <s v="Large"/>
    <x v="3"/>
    <s v="Gurugram"/>
    <x v="4"/>
    <s v="Pending"/>
  </r>
  <r>
    <s v="ORD1199"/>
    <d v="2025-01-31T00:00:00"/>
    <s v="C199"/>
    <s v="P199"/>
    <n v="1"/>
    <n v="83000"/>
    <n v="83000"/>
    <n v="0.192"/>
    <n v="15936"/>
    <n v="33200"/>
    <n v="100264"/>
    <n v="17264"/>
    <s v="Parth Dubey"/>
    <s v="Industrial"/>
    <x v="3"/>
    <s v="Gurugram"/>
    <x v="4"/>
    <s v="Pending"/>
  </r>
  <r>
    <s v="ORD1200"/>
    <d v="2025-01-31T00:00:00"/>
    <s v="C200"/>
    <s v="P200"/>
    <n v="1"/>
    <n v="84000"/>
    <n v="84000"/>
    <n v="0.01"/>
    <n v="840"/>
    <n v="33600"/>
    <n v="116760"/>
    <n v="32760"/>
    <s v="Aanya Naidu"/>
    <s v="Industrial"/>
    <x v="3"/>
    <s v="Surat"/>
    <x v="4"/>
    <s v="Pending"/>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B7A5E71-84D8-424E-A1E1-4FD028B3DD9B}"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Methods Of Payment">
  <location ref="A3:C10" firstHeaderRow="0" firstDataRow="1" firstDataCol="1"/>
  <pivotFields count="18">
    <pivotField showAll="0"/>
    <pivotField numFmtId="15" showAll="0"/>
    <pivotField showAll="0"/>
    <pivotField showAll="0"/>
    <pivotField dataField="1" showAll="0"/>
    <pivotField dataField="1" numFmtId="165" showAll="0"/>
    <pivotField numFmtId="165" showAll="0"/>
    <pivotField showAll="0"/>
    <pivotField numFmtId="165" showAll="0"/>
    <pivotField numFmtId="165" showAll="0"/>
    <pivotField numFmtId="165" showAll="0"/>
    <pivotField numFmtId="165" showAll="0"/>
    <pivotField showAll="0"/>
    <pivotField showAll="0"/>
    <pivotField showAll="0"/>
    <pivotField showAll="0"/>
    <pivotField axis="axisRow" showAll="0">
      <items count="7">
        <item x="3"/>
        <item x="2"/>
        <item x="0"/>
        <item x="4"/>
        <item x="5"/>
        <item x="1"/>
        <item t="default"/>
      </items>
    </pivotField>
    <pivotField showAll="0"/>
  </pivotFields>
  <rowFields count="1">
    <field x="16"/>
  </rowFields>
  <rowItems count="7">
    <i>
      <x/>
    </i>
    <i>
      <x v="1"/>
    </i>
    <i>
      <x v="2"/>
    </i>
    <i>
      <x v="3"/>
    </i>
    <i>
      <x v="4"/>
    </i>
    <i>
      <x v="5"/>
    </i>
    <i t="grand">
      <x/>
    </i>
  </rowItems>
  <colFields count="1">
    <field x="-2"/>
  </colFields>
  <colItems count="2">
    <i>
      <x/>
    </i>
    <i i="1">
      <x v="1"/>
    </i>
  </colItems>
  <dataFields count="2">
    <dataField name="Sum of Unit_Price" fld="5" baseField="0" baseItem="0" numFmtId="165"/>
    <dataField name="Count of Quantity" fld="4" subtotal="count" baseField="14" baseItem="0"/>
  </dataFields>
  <chartFormats count="2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6" count="1" selected="0">
            <x v="0"/>
          </reference>
        </references>
      </pivotArea>
    </chartFormat>
    <chartFormat chart="0" format="2">
      <pivotArea type="data" outline="0" fieldPosition="0">
        <references count="2">
          <reference field="4294967294" count="1" selected="0">
            <x v="0"/>
          </reference>
          <reference field="16" count="1" selected="0">
            <x v="1"/>
          </reference>
        </references>
      </pivotArea>
    </chartFormat>
    <chartFormat chart="0" format="3">
      <pivotArea type="data" outline="0" fieldPosition="0">
        <references count="2">
          <reference field="4294967294" count="1" selected="0">
            <x v="0"/>
          </reference>
          <reference field="16" count="1" selected="0">
            <x v="2"/>
          </reference>
        </references>
      </pivotArea>
    </chartFormat>
    <chartFormat chart="0" format="4">
      <pivotArea type="data" outline="0" fieldPosition="0">
        <references count="2">
          <reference field="4294967294" count="1" selected="0">
            <x v="0"/>
          </reference>
          <reference field="16" count="1" selected="0">
            <x v="3"/>
          </reference>
        </references>
      </pivotArea>
    </chartFormat>
    <chartFormat chart="0" format="5">
      <pivotArea type="data" outline="0" fieldPosition="0">
        <references count="2">
          <reference field="4294967294" count="1" selected="0">
            <x v="0"/>
          </reference>
          <reference field="16" count="1" selected="0">
            <x v="4"/>
          </reference>
        </references>
      </pivotArea>
    </chartFormat>
    <chartFormat chart="0" format="6">
      <pivotArea type="data" outline="0" fieldPosition="0">
        <references count="2">
          <reference field="4294967294" count="1" selected="0">
            <x v="0"/>
          </reference>
          <reference field="16" count="1" selected="0">
            <x v="5"/>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16" count="1" selected="0">
            <x v="0"/>
          </reference>
        </references>
      </pivotArea>
    </chartFormat>
    <chartFormat chart="3" format="9">
      <pivotArea type="data" outline="0" fieldPosition="0">
        <references count="2">
          <reference field="4294967294" count="1" selected="0">
            <x v="0"/>
          </reference>
          <reference field="16" count="1" selected="0">
            <x v="1"/>
          </reference>
        </references>
      </pivotArea>
    </chartFormat>
    <chartFormat chart="3" format="10">
      <pivotArea type="data" outline="0" fieldPosition="0">
        <references count="2">
          <reference field="4294967294" count="1" selected="0">
            <x v="0"/>
          </reference>
          <reference field="16" count="1" selected="0">
            <x v="2"/>
          </reference>
        </references>
      </pivotArea>
    </chartFormat>
    <chartFormat chart="3" format="11">
      <pivotArea type="data" outline="0" fieldPosition="0">
        <references count="2">
          <reference field="4294967294" count="1" selected="0">
            <x v="0"/>
          </reference>
          <reference field="16" count="1" selected="0">
            <x v="3"/>
          </reference>
        </references>
      </pivotArea>
    </chartFormat>
    <chartFormat chart="3" format="12">
      <pivotArea type="data" outline="0" fieldPosition="0">
        <references count="2">
          <reference field="4294967294" count="1" selected="0">
            <x v="0"/>
          </reference>
          <reference field="16" count="1" selected="0">
            <x v="4"/>
          </reference>
        </references>
      </pivotArea>
    </chartFormat>
    <chartFormat chart="3" format="13">
      <pivotArea type="data" outline="0" fieldPosition="0">
        <references count="2">
          <reference field="4294967294" count="1" selected="0">
            <x v="0"/>
          </reference>
          <reference field="16" count="1" selected="0">
            <x v="5"/>
          </reference>
        </references>
      </pivotArea>
    </chartFormat>
    <chartFormat chart="4" format="14" series="1">
      <pivotArea type="data" outline="0" fieldPosition="0">
        <references count="1">
          <reference field="4294967294" count="1" selected="0">
            <x v="0"/>
          </reference>
        </references>
      </pivotArea>
    </chartFormat>
    <chartFormat chart="4" format="15">
      <pivotArea type="data" outline="0" fieldPosition="0">
        <references count="2">
          <reference field="4294967294" count="1" selected="0">
            <x v="0"/>
          </reference>
          <reference field="16" count="1" selected="0">
            <x v="0"/>
          </reference>
        </references>
      </pivotArea>
    </chartFormat>
    <chartFormat chart="4" format="16">
      <pivotArea type="data" outline="0" fieldPosition="0">
        <references count="2">
          <reference field="4294967294" count="1" selected="0">
            <x v="0"/>
          </reference>
          <reference field="16" count="1" selected="0">
            <x v="1"/>
          </reference>
        </references>
      </pivotArea>
    </chartFormat>
    <chartFormat chart="4" format="17">
      <pivotArea type="data" outline="0" fieldPosition="0">
        <references count="2">
          <reference field="4294967294" count="1" selected="0">
            <x v="0"/>
          </reference>
          <reference field="16" count="1" selected="0">
            <x v="2"/>
          </reference>
        </references>
      </pivotArea>
    </chartFormat>
    <chartFormat chart="4" format="18">
      <pivotArea type="data" outline="0" fieldPosition="0">
        <references count="2">
          <reference field="4294967294" count="1" selected="0">
            <x v="0"/>
          </reference>
          <reference field="16" count="1" selected="0">
            <x v="3"/>
          </reference>
        </references>
      </pivotArea>
    </chartFormat>
    <chartFormat chart="4" format="19">
      <pivotArea type="data" outline="0" fieldPosition="0">
        <references count="2">
          <reference field="4294967294" count="1" selected="0">
            <x v="0"/>
          </reference>
          <reference field="16" count="1" selected="0">
            <x v="4"/>
          </reference>
        </references>
      </pivotArea>
    </chartFormat>
    <chartFormat chart="4" format="20">
      <pivotArea type="data" outline="0" fieldPosition="0">
        <references count="2">
          <reference field="4294967294" count="1" selected="0">
            <x v="0"/>
          </reference>
          <reference field="16" count="1" selected="0">
            <x v="5"/>
          </reference>
        </references>
      </pivotArea>
    </chartFormat>
    <chartFormat chart="0" format="7" series="1">
      <pivotArea type="data" outline="0" fieldPosition="0">
        <references count="1">
          <reference field="4294967294" count="1" selected="0">
            <x v="1"/>
          </reference>
        </references>
      </pivotArea>
    </chartFormat>
    <chartFormat chart="0" format="8">
      <pivotArea type="data" outline="0" fieldPosition="0">
        <references count="2">
          <reference field="4294967294" count="1" selected="0">
            <x v="1"/>
          </reference>
          <reference field="16" count="1" selected="0">
            <x v="0"/>
          </reference>
        </references>
      </pivotArea>
    </chartFormat>
    <chartFormat chart="0" format="9">
      <pivotArea type="data" outline="0" fieldPosition="0">
        <references count="2">
          <reference field="4294967294" count="1" selected="0">
            <x v="1"/>
          </reference>
          <reference field="16" count="1" selected="0">
            <x v="1"/>
          </reference>
        </references>
      </pivotArea>
    </chartFormat>
    <chartFormat chart="0" format="10">
      <pivotArea type="data" outline="0" fieldPosition="0">
        <references count="2">
          <reference field="4294967294" count="1" selected="0">
            <x v="1"/>
          </reference>
          <reference field="16" count="1" selected="0">
            <x v="2"/>
          </reference>
        </references>
      </pivotArea>
    </chartFormat>
    <chartFormat chart="0" format="11">
      <pivotArea type="data" outline="0" fieldPosition="0">
        <references count="2">
          <reference field="4294967294" count="1" selected="0">
            <x v="1"/>
          </reference>
          <reference field="16" count="1" selected="0">
            <x v="3"/>
          </reference>
        </references>
      </pivotArea>
    </chartFormat>
    <chartFormat chart="0" format="12">
      <pivotArea type="data" outline="0" fieldPosition="0">
        <references count="2">
          <reference field="4294967294" count="1" selected="0">
            <x v="1"/>
          </reference>
          <reference field="16" count="1" selected="0">
            <x v="4"/>
          </reference>
        </references>
      </pivotArea>
    </chartFormat>
    <chartFormat chart="0" format="13">
      <pivotArea type="data" outline="0" fieldPosition="0">
        <references count="2">
          <reference field="4294967294" count="1" selected="0">
            <x v="1"/>
          </reference>
          <reference field="1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A0F71B5-C879-4485-8E22-722012840C96}"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Methods Of Payment">
  <location ref="A3:B10" firstHeaderRow="1" firstDataRow="1" firstDataCol="1"/>
  <pivotFields count="18">
    <pivotField axis="axisRow"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numFmtId="15" showAll="0"/>
    <pivotField showAll="0"/>
    <pivotField showAll="0"/>
    <pivotField dataField="1" showAll="0"/>
    <pivotField numFmtId="165" showAll="0"/>
    <pivotField numFmtId="165" showAll="0"/>
    <pivotField showAll="0"/>
    <pivotField numFmtId="165" showAll="0"/>
    <pivotField numFmtId="165" showAll="0"/>
    <pivotField numFmtId="165" showAll="0"/>
    <pivotField numFmtId="165" showAll="0"/>
    <pivotField showAll="0"/>
    <pivotField showAll="0"/>
    <pivotField showAll="0"/>
    <pivotField showAll="0"/>
    <pivotField axis="axisRow" showAll="0">
      <items count="7">
        <item sd="0" x="3"/>
        <item sd="0" x="2"/>
        <item sd="0" x="0"/>
        <item sd="0" x="4"/>
        <item sd="0" x="5"/>
        <item sd="0" x="1"/>
        <item t="default" sd="0"/>
      </items>
    </pivotField>
    <pivotField showAll="0"/>
  </pivotFields>
  <rowFields count="2">
    <field x="16"/>
    <field x="0"/>
  </rowFields>
  <rowItems count="7">
    <i>
      <x/>
    </i>
    <i>
      <x v="1"/>
    </i>
    <i>
      <x v="2"/>
    </i>
    <i>
      <x v="3"/>
    </i>
    <i>
      <x v="4"/>
    </i>
    <i>
      <x v="5"/>
    </i>
    <i t="grand">
      <x/>
    </i>
  </rowItems>
  <colItems count="1">
    <i/>
  </colItems>
  <dataFields count="1">
    <dataField name="Count of orders" fld="4" subtotal="count" baseField="14"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42DA4C4-15D6-4969-A045-15A451D9D72F}"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6" firstHeaderRow="1" firstDataRow="1" firstDataCol="1"/>
  <pivotFields count="18">
    <pivotField showAll="0"/>
    <pivotField numFmtId="15" showAll="0"/>
    <pivotField showAll="0"/>
    <pivotField showAll="0"/>
    <pivotField dataField="1" showAll="0"/>
    <pivotField numFmtId="165" showAll="0"/>
    <pivotField numFmtId="165" showAll="0"/>
    <pivotField showAll="0"/>
    <pivotField numFmtId="165" showAll="0"/>
    <pivotField numFmtId="165" showAll="0"/>
    <pivotField numFmtId="165" showAll="0"/>
    <pivotField numFmtId="165" showAll="0"/>
    <pivotField showAll="0"/>
    <pivotField showAll="0"/>
    <pivotField showAll="0">
      <items count="24">
        <item x="9"/>
        <item x="8"/>
        <item x="10"/>
        <item x="7"/>
        <item x="0"/>
        <item x="2"/>
        <item x="1"/>
        <item x="15"/>
        <item x="5"/>
        <item x="3"/>
        <item x="20"/>
        <item x="18"/>
        <item x="13"/>
        <item x="11"/>
        <item x="14"/>
        <item x="19"/>
        <item x="6"/>
        <item x="17"/>
        <item m="1" x="22"/>
        <item x="21"/>
        <item x="16"/>
        <item x="12"/>
        <item x="4"/>
        <item t="default"/>
      </items>
    </pivotField>
    <pivotField showAll="0"/>
    <pivotField showAll="0"/>
    <pivotField axis="axisRow" showAll="0">
      <items count="3">
        <item x="0"/>
        <item x="1"/>
        <item t="default"/>
      </items>
    </pivotField>
  </pivotFields>
  <rowFields count="1">
    <field x="17"/>
  </rowFields>
  <rowItems count="3">
    <i>
      <x/>
    </i>
    <i>
      <x v="1"/>
    </i>
    <i t="grand">
      <x/>
    </i>
  </rowItems>
  <colItems count="1">
    <i/>
  </colItems>
  <dataFields count="1">
    <dataField name="Count of Quantity" fld="4" subtotal="count" baseField="16"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7" count="1" selected="0">
            <x v="0"/>
          </reference>
        </references>
      </pivotArea>
    </chartFormat>
    <chartFormat chart="0" format="2">
      <pivotArea type="data" outline="0" fieldPosition="0">
        <references count="2">
          <reference field="4294967294" count="1" selected="0">
            <x v="0"/>
          </reference>
          <reference field="17" count="1" selected="0">
            <x v="1"/>
          </reference>
        </references>
      </pivotArea>
    </chartFormat>
    <chartFormat chart="15" format="6" series="1">
      <pivotArea type="data" outline="0" fieldPosition="0">
        <references count="1">
          <reference field="4294967294" count="1" selected="0">
            <x v="0"/>
          </reference>
        </references>
      </pivotArea>
    </chartFormat>
    <chartFormat chart="15" format="7">
      <pivotArea type="data" outline="0" fieldPosition="0">
        <references count="2">
          <reference field="4294967294" count="1" selected="0">
            <x v="0"/>
          </reference>
          <reference field="17" count="1" selected="0">
            <x v="0"/>
          </reference>
        </references>
      </pivotArea>
    </chartFormat>
    <chartFormat chart="15" format="8">
      <pivotArea type="data" outline="0" fieldPosition="0">
        <references count="2">
          <reference field="4294967294" count="1" selected="0">
            <x v="0"/>
          </reference>
          <reference field="1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F4FFBA5-97C5-46DB-A609-0B411BACF8FD}"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39" firstHeaderRow="1" firstDataRow="1" firstDataCol="1"/>
  <pivotFields count="18">
    <pivotField showAll="0"/>
    <pivotField numFmtId="15" showAll="0"/>
    <pivotField showAll="0"/>
    <pivotField showAll="0"/>
    <pivotField showAll="0"/>
    <pivotField numFmtId="165" showAll="0"/>
    <pivotField numFmtId="165" showAll="0"/>
    <pivotField showAll="0"/>
    <pivotField numFmtId="165" showAll="0"/>
    <pivotField numFmtId="165" showAll="0"/>
    <pivotField dataField="1" numFmtId="165" showAll="0"/>
    <pivotField numFmtId="165" showAll="0"/>
    <pivotField showAll="0"/>
    <pivotField showAll="0">
      <items count="7">
        <item x="4"/>
        <item x="2"/>
        <item x="1"/>
        <item x="0"/>
        <item x="3"/>
        <item x="5"/>
        <item t="default"/>
      </items>
    </pivotField>
    <pivotField axis="axisRow" showAll="0">
      <items count="24">
        <item x="9"/>
        <item x="8"/>
        <item x="10"/>
        <item x="7"/>
        <item x="0"/>
        <item x="2"/>
        <item x="1"/>
        <item x="15"/>
        <item x="5"/>
        <item x="3"/>
        <item x="20"/>
        <item x="18"/>
        <item x="13"/>
        <item x="11"/>
        <item x="14"/>
        <item x="19"/>
        <item x="6"/>
        <item x="17"/>
        <item m="1" x="22"/>
        <item x="21"/>
        <item x="16"/>
        <item x="12"/>
        <item x="4"/>
        <item t="default"/>
      </items>
    </pivotField>
    <pivotField showAll="0"/>
    <pivotField showAll="0"/>
    <pivotField axis="axisRow" showAll="0">
      <items count="3">
        <item x="0"/>
        <item x="1"/>
        <item t="default"/>
      </items>
    </pivotField>
  </pivotFields>
  <rowFields count="2">
    <field x="17"/>
    <field x="14"/>
  </rowFields>
  <rowItems count="36">
    <i>
      <x/>
    </i>
    <i r="1">
      <x v="1"/>
    </i>
    <i r="1">
      <x v="3"/>
    </i>
    <i r="1">
      <x v="4"/>
    </i>
    <i r="1">
      <x v="5"/>
    </i>
    <i r="1">
      <x v="6"/>
    </i>
    <i r="1">
      <x v="7"/>
    </i>
    <i r="1">
      <x v="9"/>
    </i>
    <i r="1">
      <x v="11"/>
    </i>
    <i r="1">
      <x v="12"/>
    </i>
    <i r="1">
      <x v="13"/>
    </i>
    <i r="1">
      <x v="14"/>
    </i>
    <i r="1">
      <x v="15"/>
    </i>
    <i r="1">
      <x v="16"/>
    </i>
    <i r="1">
      <x v="17"/>
    </i>
    <i r="1">
      <x v="19"/>
    </i>
    <i r="1">
      <x v="20"/>
    </i>
    <i r="1">
      <x v="21"/>
    </i>
    <i r="1">
      <x v="22"/>
    </i>
    <i>
      <x v="1"/>
    </i>
    <i r="1">
      <x/>
    </i>
    <i r="1">
      <x v="1"/>
    </i>
    <i r="1">
      <x v="2"/>
    </i>
    <i r="1">
      <x v="3"/>
    </i>
    <i r="1">
      <x v="4"/>
    </i>
    <i r="1">
      <x v="6"/>
    </i>
    <i r="1">
      <x v="8"/>
    </i>
    <i r="1">
      <x v="9"/>
    </i>
    <i r="1">
      <x v="10"/>
    </i>
    <i r="1">
      <x v="11"/>
    </i>
    <i r="1">
      <x v="12"/>
    </i>
    <i r="1">
      <x v="13"/>
    </i>
    <i r="1">
      <x v="15"/>
    </i>
    <i r="1">
      <x v="16"/>
    </i>
    <i r="1">
      <x v="21"/>
    </i>
    <i t="grand">
      <x/>
    </i>
  </rowItems>
  <colItems count="1">
    <i/>
  </colItems>
  <dataFields count="1">
    <dataField name="Sum of Net Sales" fld="10" baseField="16" baseItem="0" numFmtId="165"/>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EBD8E5E-0CE5-4895-8C84-5DB62E429CAC}" name="PivotTable6"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1" firstHeaderRow="1" firstDataRow="1" firstDataCol="1"/>
  <pivotFields count="18">
    <pivotField showAll="0"/>
    <pivotField numFmtId="15" showAll="0"/>
    <pivotField showAll="0"/>
    <pivotField showAll="0"/>
    <pivotField showAll="0"/>
    <pivotField numFmtId="165" showAll="0"/>
    <pivotField numFmtId="165" showAll="0"/>
    <pivotField showAll="0"/>
    <pivotField numFmtId="165" showAll="0"/>
    <pivotField numFmtId="165" showAll="0"/>
    <pivotField numFmtId="165" showAll="0"/>
    <pivotField dataField="1" numFmtId="165" showAll="0"/>
    <pivotField showAll="0"/>
    <pivotField axis="axisRow" showAll="0">
      <items count="7">
        <item x="4"/>
        <item x="2"/>
        <item x="1"/>
        <item x="0"/>
        <item x="3"/>
        <item x="5"/>
        <item t="default"/>
      </items>
    </pivotField>
    <pivotField showAll="0">
      <items count="24">
        <item x="9"/>
        <item x="8"/>
        <item x="10"/>
        <item x="7"/>
        <item x="0"/>
        <item x="2"/>
        <item x="1"/>
        <item x="15"/>
        <item x="5"/>
        <item x="3"/>
        <item x="20"/>
        <item x="18"/>
        <item x="13"/>
        <item x="11"/>
        <item x="14"/>
        <item x="19"/>
        <item x="6"/>
        <item x="17"/>
        <item m="1" x="22"/>
        <item x="21"/>
        <item x="16"/>
        <item x="12"/>
        <item x="4"/>
        <item t="default"/>
      </items>
    </pivotField>
    <pivotField showAll="0"/>
    <pivotField showAll="0">
      <items count="7">
        <item x="3"/>
        <item x="2"/>
        <item x="0"/>
        <item x="4"/>
        <item x="5"/>
        <item x="1"/>
        <item t="default"/>
      </items>
    </pivotField>
    <pivotField axis="axisRow" showAll="0">
      <items count="3">
        <item h="1" x="0"/>
        <item x="1"/>
        <item t="default"/>
      </items>
    </pivotField>
  </pivotFields>
  <rowFields count="2">
    <field x="17"/>
    <field x="13"/>
  </rowFields>
  <rowItems count="8">
    <i>
      <x v="1"/>
    </i>
    <i r="1">
      <x/>
    </i>
    <i r="1">
      <x v="1"/>
    </i>
    <i r="1">
      <x v="2"/>
    </i>
    <i r="1">
      <x v="3"/>
    </i>
    <i r="1">
      <x v="4"/>
    </i>
    <i r="1">
      <x v="5"/>
    </i>
    <i t="grand">
      <x/>
    </i>
  </rowItems>
  <colItems count="1">
    <i/>
  </colItems>
  <dataFields count="1">
    <dataField name="Sum of Surplus" fld="11" baseField="0" baseItem="0" numFmtId="165"/>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0F8B4D0-428A-4F1B-B618-630AFA53C17F}"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59" firstHeaderRow="1" firstDataRow="1" firstDataCol="1"/>
  <pivotFields count="18">
    <pivotField showAll="0"/>
    <pivotField numFmtId="15" showAll="0"/>
    <pivotField showAll="0"/>
    <pivotField showAll="0"/>
    <pivotField showAll="0"/>
    <pivotField numFmtId="165" showAll="0"/>
    <pivotField numFmtId="165" showAll="0"/>
    <pivotField showAll="0"/>
    <pivotField numFmtId="165" showAll="0"/>
    <pivotField numFmtId="165" showAll="0"/>
    <pivotField numFmtId="165" showAll="0"/>
    <pivotField dataField="1" numFmtId="165" showAll="0"/>
    <pivotField showAll="0"/>
    <pivotField showAll="0"/>
    <pivotField axis="axisRow" showAll="0">
      <items count="24">
        <item x="9"/>
        <item x="8"/>
        <item x="10"/>
        <item x="7"/>
        <item x="0"/>
        <item x="2"/>
        <item x="1"/>
        <item x="15"/>
        <item x="5"/>
        <item x="3"/>
        <item x="20"/>
        <item x="18"/>
        <item x="13"/>
        <item x="11"/>
        <item x="14"/>
        <item x="19"/>
        <item x="6"/>
        <item x="17"/>
        <item m="1" x="22"/>
        <item x="21"/>
        <item x="16"/>
        <item x="12"/>
        <item x="4"/>
        <item t="default"/>
      </items>
    </pivotField>
    <pivotField showAll="0"/>
    <pivotField showAll="0"/>
    <pivotField axis="axisRow" showAll="0">
      <items count="3">
        <item x="0"/>
        <item x="1"/>
        <item t="default"/>
      </items>
    </pivotField>
  </pivotFields>
  <rowFields count="2">
    <field x="14"/>
    <field x="17"/>
  </rowFields>
  <rowItems count="56">
    <i>
      <x/>
    </i>
    <i r="1">
      <x v="1"/>
    </i>
    <i>
      <x v="1"/>
    </i>
    <i r="1">
      <x/>
    </i>
    <i r="1">
      <x v="1"/>
    </i>
    <i>
      <x v="2"/>
    </i>
    <i r="1">
      <x v="1"/>
    </i>
    <i>
      <x v="3"/>
    </i>
    <i r="1">
      <x/>
    </i>
    <i r="1">
      <x v="1"/>
    </i>
    <i>
      <x v="4"/>
    </i>
    <i r="1">
      <x/>
    </i>
    <i r="1">
      <x v="1"/>
    </i>
    <i>
      <x v="5"/>
    </i>
    <i r="1">
      <x/>
    </i>
    <i>
      <x v="6"/>
    </i>
    <i r="1">
      <x/>
    </i>
    <i r="1">
      <x v="1"/>
    </i>
    <i>
      <x v="7"/>
    </i>
    <i r="1">
      <x/>
    </i>
    <i>
      <x v="8"/>
    </i>
    <i r="1">
      <x v="1"/>
    </i>
    <i>
      <x v="9"/>
    </i>
    <i r="1">
      <x/>
    </i>
    <i r="1">
      <x v="1"/>
    </i>
    <i>
      <x v="10"/>
    </i>
    <i r="1">
      <x v="1"/>
    </i>
    <i>
      <x v="11"/>
    </i>
    <i r="1">
      <x/>
    </i>
    <i r="1">
      <x v="1"/>
    </i>
    <i>
      <x v="12"/>
    </i>
    <i r="1">
      <x/>
    </i>
    <i r="1">
      <x v="1"/>
    </i>
    <i>
      <x v="13"/>
    </i>
    <i r="1">
      <x/>
    </i>
    <i r="1">
      <x v="1"/>
    </i>
    <i>
      <x v="14"/>
    </i>
    <i r="1">
      <x/>
    </i>
    <i>
      <x v="15"/>
    </i>
    <i r="1">
      <x/>
    </i>
    <i r="1">
      <x v="1"/>
    </i>
    <i>
      <x v="16"/>
    </i>
    <i r="1">
      <x/>
    </i>
    <i r="1">
      <x v="1"/>
    </i>
    <i>
      <x v="17"/>
    </i>
    <i r="1">
      <x/>
    </i>
    <i>
      <x v="19"/>
    </i>
    <i r="1">
      <x/>
    </i>
    <i>
      <x v="20"/>
    </i>
    <i r="1">
      <x/>
    </i>
    <i>
      <x v="21"/>
    </i>
    <i r="1">
      <x/>
    </i>
    <i r="1">
      <x v="1"/>
    </i>
    <i>
      <x v="22"/>
    </i>
    <i r="1">
      <x/>
    </i>
    <i t="grand">
      <x/>
    </i>
  </rowItems>
  <colItems count="1">
    <i/>
  </colItems>
  <dataFields count="1">
    <dataField name="Sum of Surplus" fld="11" baseField="0" baseItem="0" numFmtId="165"/>
  </dataFields>
  <chartFormats count="70">
    <chartFormat chart="0" format="0" series="1">
      <pivotArea type="data" outline="0" fieldPosition="0">
        <references count="1">
          <reference field="4294967294" count="1" selected="0">
            <x v="0"/>
          </reference>
        </references>
      </pivotArea>
    </chartFormat>
    <chartFormat chart="10" format="37" series="1">
      <pivotArea type="data" outline="0" fieldPosition="0">
        <references count="1">
          <reference field="4294967294" count="1" selected="0">
            <x v="0"/>
          </reference>
        </references>
      </pivotArea>
    </chartFormat>
    <chartFormat chart="10" format="38">
      <pivotArea type="data" outline="0" fieldPosition="0">
        <references count="3">
          <reference field="4294967294" count="1" selected="0">
            <x v="0"/>
          </reference>
          <reference field="14" count="1" selected="0">
            <x v="0"/>
          </reference>
          <reference field="17" count="1" selected="0">
            <x v="1"/>
          </reference>
        </references>
      </pivotArea>
    </chartFormat>
    <chartFormat chart="10" format="39">
      <pivotArea type="data" outline="0" fieldPosition="0">
        <references count="3">
          <reference field="4294967294" count="1" selected="0">
            <x v="0"/>
          </reference>
          <reference field="14" count="1" selected="0">
            <x v="1"/>
          </reference>
          <reference field="17" count="1" selected="0">
            <x v="0"/>
          </reference>
        </references>
      </pivotArea>
    </chartFormat>
    <chartFormat chart="10" format="40">
      <pivotArea type="data" outline="0" fieldPosition="0">
        <references count="3">
          <reference field="4294967294" count="1" selected="0">
            <x v="0"/>
          </reference>
          <reference field="14" count="1" selected="0">
            <x v="1"/>
          </reference>
          <reference field="17" count="1" selected="0">
            <x v="1"/>
          </reference>
        </references>
      </pivotArea>
    </chartFormat>
    <chartFormat chart="10" format="41">
      <pivotArea type="data" outline="0" fieldPosition="0">
        <references count="3">
          <reference field="4294967294" count="1" selected="0">
            <x v="0"/>
          </reference>
          <reference field="14" count="1" selected="0">
            <x v="2"/>
          </reference>
          <reference field="17" count="1" selected="0">
            <x v="1"/>
          </reference>
        </references>
      </pivotArea>
    </chartFormat>
    <chartFormat chart="10" format="42">
      <pivotArea type="data" outline="0" fieldPosition="0">
        <references count="3">
          <reference field="4294967294" count="1" selected="0">
            <x v="0"/>
          </reference>
          <reference field="14" count="1" selected="0">
            <x v="3"/>
          </reference>
          <reference field="17" count="1" selected="0">
            <x v="0"/>
          </reference>
        </references>
      </pivotArea>
    </chartFormat>
    <chartFormat chart="10" format="43">
      <pivotArea type="data" outline="0" fieldPosition="0">
        <references count="3">
          <reference field="4294967294" count="1" selected="0">
            <x v="0"/>
          </reference>
          <reference field="14" count="1" selected="0">
            <x v="3"/>
          </reference>
          <reference field="17" count="1" selected="0">
            <x v="1"/>
          </reference>
        </references>
      </pivotArea>
    </chartFormat>
    <chartFormat chart="10" format="44">
      <pivotArea type="data" outline="0" fieldPosition="0">
        <references count="3">
          <reference field="4294967294" count="1" selected="0">
            <x v="0"/>
          </reference>
          <reference field="14" count="1" selected="0">
            <x v="4"/>
          </reference>
          <reference field="17" count="1" selected="0">
            <x v="0"/>
          </reference>
        </references>
      </pivotArea>
    </chartFormat>
    <chartFormat chart="10" format="45">
      <pivotArea type="data" outline="0" fieldPosition="0">
        <references count="3">
          <reference field="4294967294" count="1" selected="0">
            <x v="0"/>
          </reference>
          <reference field="14" count="1" selected="0">
            <x v="4"/>
          </reference>
          <reference field="17" count="1" selected="0">
            <x v="1"/>
          </reference>
        </references>
      </pivotArea>
    </chartFormat>
    <chartFormat chart="10" format="46">
      <pivotArea type="data" outline="0" fieldPosition="0">
        <references count="3">
          <reference field="4294967294" count="1" selected="0">
            <x v="0"/>
          </reference>
          <reference field="14" count="1" selected="0">
            <x v="5"/>
          </reference>
          <reference field="17" count="1" selected="0">
            <x v="0"/>
          </reference>
        </references>
      </pivotArea>
    </chartFormat>
    <chartFormat chart="10" format="47">
      <pivotArea type="data" outline="0" fieldPosition="0">
        <references count="3">
          <reference field="4294967294" count="1" selected="0">
            <x v="0"/>
          </reference>
          <reference field="14" count="1" selected="0">
            <x v="6"/>
          </reference>
          <reference field="17" count="1" selected="0">
            <x v="0"/>
          </reference>
        </references>
      </pivotArea>
    </chartFormat>
    <chartFormat chart="10" format="48">
      <pivotArea type="data" outline="0" fieldPosition="0">
        <references count="3">
          <reference field="4294967294" count="1" selected="0">
            <x v="0"/>
          </reference>
          <reference field="14" count="1" selected="0">
            <x v="6"/>
          </reference>
          <reference field="17" count="1" selected="0">
            <x v="1"/>
          </reference>
        </references>
      </pivotArea>
    </chartFormat>
    <chartFormat chart="10" format="49">
      <pivotArea type="data" outline="0" fieldPosition="0">
        <references count="3">
          <reference field="4294967294" count="1" selected="0">
            <x v="0"/>
          </reference>
          <reference field="14" count="1" selected="0">
            <x v="7"/>
          </reference>
          <reference field="17" count="1" selected="0">
            <x v="0"/>
          </reference>
        </references>
      </pivotArea>
    </chartFormat>
    <chartFormat chart="10" format="50">
      <pivotArea type="data" outline="0" fieldPosition="0">
        <references count="3">
          <reference field="4294967294" count="1" selected="0">
            <x v="0"/>
          </reference>
          <reference field="14" count="1" selected="0">
            <x v="8"/>
          </reference>
          <reference field="17" count="1" selected="0">
            <x v="1"/>
          </reference>
        </references>
      </pivotArea>
    </chartFormat>
    <chartFormat chart="10" format="51">
      <pivotArea type="data" outline="0" fieldPosition="0">
        <references count="3">
          <reference field="4294967294" count="1" selected="0">
            <x v="0"/>
          </reference>
          <reference field="14" count="1" selected="0">
            <x v="9"/>
          </reference>
          <reference field="17" count="1" selected="0">
            <x v="0"/>
          </reference>
        </references>
      </pivotArea>
    </chartFormat>
    <chartFormat chart="10" format="52">
      <pivotArea type="data" outline="0" fieldPosition="0">
        <references count="3">
          <reference field="4294967294" count="1" selected="0">
            <x v="0"/>
          </reference>
          <reference field="14" count="1" selected="0">
            <x v="9"/>
          </reference>
          <reference field="17" count="1" selected="0">
            <x v="1"/>
          </reference>
        </references>
      </pivotArea>
    </chartFormat>
    <chartFormat chart="10" format="53">
      <pivotArea type="data" outline="0" fieldPosition="0">
        <references count="3">
          <reference field="4294967294" count="1" selected="0">
            <x v="0"/>
          </reference>
          <reference field="14" count="1" selected="0">
            <x v="10"/>
          </reference>
          <reference field="17" count="1" selected="0">
            <x v="1"/>
          </reference>
        </references>
      </pivotArea>
    </chartFormat>
    <chartFormat chart="10" format="54">
      <pivotArea type="data" outline="0" fieldPosition="0">
        <references count="3">
          <reference field="4294967294" count="1" selected="0">
            <x v="0"/>
          </reference>
          <reference field="14" count="1" selected="0">
            <x v="11"/>
          </reference>
          <reference field="17" count="1" selected="0">
            <x v="0"/>
          </reference>
        </references>
      </pivotArea>
    </chartFormat>
    <chartFormat chart="10" format="55">
      <pivotArea type="data" outline="0" fieldPosition="0">
        <references count="3">
          <reference field="4294967294" count="1" selected="0">
            <x v="0"/>
          </reference>
          <reference field="14" count="1" selected="0">
            <x v="11"/>
          </reference>
          <reference field="17" count="1" selected="0">
            <x v="1"/>
          </reference>
        </references>
      </pivotArea>
    </chartFormat>
    <chartFormat chart="10" format="56">
      <pivotArea type="data" outline="0" fieldPosition="0">
        <references count="3">
          <reference field="4294967294" count="1" selected="0">
            <x v="0"/>
          </reference>
          <reference field="14" count="1" selected="0">
            <x v="12"/>
          </reference>
          <reference field="17" count="1" selected="0">
            <x v="0"/>
          </reference>
        </references>
      </pivotArea>
    </chartFormat>
    <chartFormat chart="10" format="57">
      <pivotArea type="data" outline="0" fieldPosition="0">
        <references count="3">
          <reference field="4294967294" count="1" selected="0">
            <x v="0"/>
          </reference>
          <reference field="14" count="1" selected="0">
            <x v="12"/>
          </reference>
          <reference field="17" count="1" selected="0">
            <x v="1"/>
          </reference>
        </references>
      </pivotArea>
    </chartFormat>
    <chartFormat chart="10" format="58">
      <pivotArea type="data" outline="0" fieldPosition="0">
        <references count="3">
          <reference field="4294967294" count="1" selected="0">
            <x v="0"/>
          </reference>
          <reference field="14" count="1" selected="0">
            <x v="13"/>
          </reference>
          <reference field="17" count="1" selected="0">
            <x v="0"/>
          </reference>
        </references>
      </pivotArea>
    </chartFormat>
    <chartFormat chart="10" format="59">
      <pivotArea type="data" outline="0" fieldPosition="0">
        <references count="3">
          <reference field="4294967294" count="1" selected="0">
            <x v="0"/>
          </reference>
          <reference field="14" count="1" selected="0">
            <x v="13"/>
          </reference>
          <reference field="17" count="1" selected="0">
            <x v="1"/>
          </reference>
        </references>
      </pivotArea>
    </chartFormat>
    <chartFormat chart="10" format="60">
      <pivotArea type="data" outline="0" fieldPosition="0">
        <references count="3">
          <reference field="4294967294" count="1" selected="0">
            <x v="0"/>
          </reference>
          <reference field="14" count="1" selected="0">
            <x v="14"/>
          </reference>
          <reference field="17" count="1" selected="0">
            <x v="0"/>
          </reference>
        </references>
      </pivotArea>
    </chartFormat>
    <chartFormat chart="10" format="61">
      <pivotArea type="data" outline="0" fieldPosition="0">
        <references count="3">
          <reference field="4294967294" count="1" selected="0">
            <x v="0"/>
          </reference>
          <reference field="14" count="1" selected="0">
            <x v="15"/>
          </reference>
          <reference field="17" count="1" selected="0">
            <x v="0"/>
          </reference>
        </references>
      </pivotArea>
    </chartFormat>
    <chartFormat chart="10" format="62">
      <pivotArea type="data" outline="0" fieldPosition="0">
        <references count="3">
          <reference field="4294967294" count="1" selected="0">
            <x v="0"/>
          </reference>
          <reference field="14" count="1" selected="0">
            <x v="15"/>
          </reference>
          <reference field="17" count="1" selected="0">
            <x v="1"/>
          </reference>
        </references>
      </pivotArea>
    </chartFormat>
    <chartFormat chart="10" format="63">
      <pivotArea type="data" outline="0" fieldPosition="0">
        <references count="3">
          <reference field="4294967294" count="1" selected="0">
            <x v="0"/>
          </reference>
          <reference field="14" count="1" selected="0">
            <x v="16"/>
          </reference>
          <reference field="17" count="1" selected="0">
            <x v="0"/>
          </reference>
        </references>
      </pivotArea>
    </chartFormat>
    <chartFormat chart="10" format="64">
      <pivotArea type="data" outline="0" fieldPosition="0">
        <references count="3">
          <reference field="4294967294" count="1" selected="0">
            <x v="0"/>
          </reference>
          <reference field="14" count="1" selected="0">
            <x v="16"/>
          </reference>
          <reference field="17" count="1" selected="0">
            <x v="1"/>
          </reference>
        </references>
      </pivotArea>
    </chartFormat>
    <chartFormat chart="10" format="65">
      <pivotArea type="data" outline="0" fieldPosition="0">
        <references count="3">
          <reference field="4294967294" count="1" selected="0">
            <x v="0"/>
          </reference>
          <reference field="14" count="1" selected="0">
            <x v="17"/>
          </reference>
          <reference field="17" count="1" selected="0">
            <x v="0"/>
          </reference>
        </references>
      </pivotArea>
    </chartFormat>
    <chartFormat chart="10" format="66">
      <pivotArea type="data" outline="0" fieldPosition="0">
        <references count="3">
          <reference field="4294967294" count="1" selected="0">
            <x v="0"/>
          </reference>
          <reference field="14" count="1" selected="0">
            <x v="18"/>
          </reference>
          <reference field="17" count="1" selected="0">
            <x v="0"/>
          </reference>
        </references>
      </pivotArea>
    </chartFormat>
    <chartFormat chart="10" format="67">
      <pivotArea type="data" outline="0" fieldPosition="0">
        <references count="3">
          <reference field="4294967294" count="1" selected="0">
            <x v="0"/>
          </reference>
          <reference field="14" count="1" selected="0">
            <x v="18"/>
          </reference>
          <reference field="17" count="1" selected="0">
            <x v="1"/>
          </reference>
        </references>
      </pivotArea>
    </chartFormat>
    <chartFormat chart="10" format="68">
      <pivotArea type="data" outline="0" fieldPosition="0">
        <references count="3">
          <reference field="4294967294" count="1" selected="0">
            <x v="0"/>
          </reference>
          <reference field="14" count="1" selected="0">
            <x v="19"/>
          </reference>
          <reference field="17" count="1" selected="0">
            <x v="0"/>
          </reference>
        </references>
      </pivotArea>
    </chartFormat>
    <chartFormat chart="10" format="69">
      <pivotArea type="data" outline="0" fieldPosition="0">
        <references count="3">
          <reference field="4294967294" count="1" selected="0">
            <x v="0"/>
          </reference>
          <reference field="14" count="1" selected="0">
            <x v="20"/>
          </reference>
          <reference field="17" count="1" selected="0">
            <x v="0"/>
          </reference>
        </references>
      </pivotArea>
    </chartFormat>
    <chartFormat chart="10" format="70">
      <pivotArea type="data" outline="0" fieldPosition="0">
        <references count="3">
          <reference field="4294967294" count="1" selected="0">
            <x v="0"/>
          </reference>
          <reference field="14" count="1" selected="0">
            <x v="21"/>
          </reference>
          <reference field="17" count="1" selected="0">
            <x v="0"/>
          </reference>
        </references>
      </pivotArea>
    </chartFormat>
    <chartFormat chart="10" format="71">
      <pivotArea type="data" outline="0" fieldPosition="0">
        <references count="3">
          <reference field="4294967294" count="1" selected="0">
            <x v="0"/>
          </reference>
          <reference field="14" count="1" selected="0">
            <x v="21"/>
          </reference>
          <reference field="17" count="1" selected="0">
            <x v="1"/>
          </reference>
        </references>
      </pivotArea>
    </chartFormat>
    <chartFormat chart="10" format="72">
      <pivotArea type="data" outline="0" fieldPosition="0">
        <references count="3">
          <reference field="4294967294" count="1" selected="0">
            <x v="0"/>
          </reference>
          <reference field="14" count="1" selected="0">
            <x v="22"/>
          </reference>
          <reference field="17" count="1" selected="0">
            <x v="0"/>
          </reference>
        </references>
      </pivotArea>
    </chartFormat>
    <chartFormat chart="0" format="36">
      <pivotArea type="data" outline="0" fieldPosition="0">
        <references count="3">
          <reference field="4294967294" count="1" selected="0">
            <x v="0"/>
          </reference>
          <reference field="14" count="1" selected="0">
            <x v="0"/>
          </reference>
          <reference field="17" count="1" selected="0">
            <x v="1"/>
          </reference>
        </references>
      </pivotArea>
    </chartFormat>
    <chartFormat chart="0" format="37">
      <pivotArea type="data" outline="0" fieldPosition="0">
        <references count="3">
          <reference field="4294967294" count="1" selected="0">
            <x v="0"/>
          </reference>
          <reference field="14" count="1" selected="0">
            <x v="1"/>
          </reference>
          <reference field="17" count="1" selected="0">
            <x v="0"/>
          </reference>
        </references>
      </pivotArea>
    </chartFormat>
    <chartFormat chart="0" format="38">
      <pivotArea type="data" outline="0" fieldPosition="0">
        <references count="3">
          <reference field="4294967294" count="1" selected="0">
            <x v="0"/>
          </reference>
          <reference field="14" count="1" selected="0">
            <x v="1"/>
          </reference>
          <reference field="17" count="1" selected="0">
            <x v="1"/>
          </reference>
        </references>
      </pivotArea>
    </chartFormat>
    <chartFormat chart="0" format="39">
      <pivotArea type="data" outline="0" fieldPosition="0">
        <references count="3">
          <reference field="4294967294" count="1" selected="0">
            <x v="0"/>
          </reference>
          <reference field="14" count="1" selected="0">
            <x v="2"/>
          </reference>
          <reference field="17" count="1" selected="0">
            <x v="1"/>
          </reference>
        </references>
      </pivotArea>
    </chartFormat>
    <chartFormat chart="0" format="40">
      <pivotArea type="data" outline="0" fieldPosition="0">
        <references count="3">
          <reference field="4294967294" count="1" selected="0">
            <x v="0"/>
          </reference>
          <reference field="14" count="1" selected="0">
            <x v="3"/>
          </reference>
          <reference field="17" count="1" selected="0">
            <x v="0"/>
          </reference>
        </references>
      </pivotArea>
    </chartFormat>
    <chartFormat chart="0" format="41">
      <pivotArea type="data" outline="0" fieldPosition="0">
        <references count="3">
          <reference field="4294967294" count="1" selected="0">
            <x v="0"/>
          </reference>
          <reference field="14" count="1" selected="0">
            <x v="3"/>
          </reference>
          <reference field="17" count="1" selected="0">
            <x v="1"/>
          </reference>
        </references>
      </pivotArea>
    </chartFormat>
    <chartFormat chart="0" format="42">
      <pivotArea type="data" outline="0" fieldPosition="0">
        <references count="3">
          <reference field="4294967294" count="1" selected="0">
            <x v="0"/>
          </reference>
          <reference field="14" count="1" selected="0">
            <x v="4"/>
          </reference>
          <reference field="17" count="1" selected="0">
            <x v="0"/>
          </reference>
        </references>
      </pivotArea>
    </chartFormat>
    <chartFormat chart="0" format="43">
      <pivotArea type="data" outline="0" fieldPosition="0">
        <references count="3">
          <reference field="4294967294" count="1" selected="0">
            <x v="0"/>
          </reference>
          <reference field="14" count="1" selected="0">
            <x v="4"/>
          </reference>
          <reference field="17" count="1" selected="0">
            <x v="1"/>
          </reference>
        </references>
      </pivotArea>
    </chartFormat>
    <chartFormat chart="0" format="44">
      <pivotArea type="data" outline="0" fieldPosition="0">
        <references count="3">
          <reference field="4294967294" count="1" selected="0">
            <x v="0"/>
          </reference>
          <reference field="14" count="1" selected="0">
            <x v="5"/>
          </reference>
          <reference field="17" count="1" selected="0">
            <x v="0"/>
          </reference>
        </references>
      </pivotArea>
    </chartFormat>
    <chartFormat chart="0" format="45">
      <pivotArea type="data" outline="0" fieldPosition="0">
        <references count="3">
          <reference field="4294967294" count="1" selected="0">
            <x v="0"/>
          </reference>
          <reference field="14" count="1" selected="0">
            <x v="6"/>
          </reference>
          <reference field="17" count="1" selected="0">
            <x v="0"/>
          </reference>
        </references>
      </pivotArea>
    </chartFormat>
    <chartFormat chart="0" format="46">
      <pivotArea type="data" outline="0" fieldPosition="0">
        <references count="3">
          <reference field="4294967294" count="1" selected="0">
            <x v="0"/>
          </reference>
          <reference field="14" count="1" selected="0">
            <x v="6"/>
          </reference>
          <reference field="17" count="1" selected="0">
            <x v="1"/>
          </reference>
        </references>
      </pivotArea>
    </chartFormat>
    <chartFormat chart="0" format="47">
      <pivotArea type="data" outline="0" fieldPosition="0">
        <references count="3">
          <reference field="4294967294" count="1" selected="0">
            <x v="0"/>
          </reference>
          <reference field="14" count="1" selected="0">
            <x v="7"/>
          </reference>
          <reference field="17" count="1" selected="0">
            <x v="0"/>
          </reference>
        </references>
      </pivotArea>
    </chartFormat>
    <chartFormat chart="0" format="48">
      <pivotArea type="data" outline="0" fieldPosition="0">
        <references count="3">
          <reference field="4294967294" count="1" selected="0">
            <x v="0"/>
          </reference>
          <reference field="14" count="1" selected="0">
            <x v="8"/>
          </reference>
          <reference field="17" count="1" selected="0">
            <x v="1"/>
          </reference>
        </references>
      </pivotArea>
    </chartFormat>
    <chartFormat chart="0" format="49">
      <pivotArea type="data" outline="0" fieldPosition="0">
        <references count="3">
          <reference field="4294967294" count="1" selected="0">
            <x v="0"/>
          </reference>
          <reference field="14" count="1" selected="0">
            <x v="9"/>
          </reference>
          <reference field="17" count="1" selected="0">
            <x v="0"/>
          </reference>
        </references>
      </pivotArea>
    </chartFormat>
    <chartFormat chart="0" format="50">
      <pivotArea type="data" outline="0" fieldPosition="0">
        <references count="3">
          <reference field="4294967294" count="1" selected="0">
            <x v="0"/>
          </reference>
          <reference field="14" count="1" selected="0">
            <x v="9"/>
          </reference>
          <reference field="17" count="1" selected="0">
            <x v="1"/>
          </reference>
        </references>
      </pivotArea>
    </chartFormat>
    <chartFormat chart="0" format="51">
      <pivotArea type="data" outline="0" fieldPosition="0">
        <references count="3">
          <reference field="4294967294" count="1" selected="0">
            <x v="0"/>
          </reference>
          <reference field="14" count="1" selected="0">
            <x v="10"/>
          </reference>
          <reference field="17" count="1" selected="0">
            <x v="1"/>
          </reference>
        </references>
      </pivotArea>
    </chartFormat>
    <chartFormat chart="0" format="52">
      <pivotArea type="data" outline="0" fieldPosition="0">
        <references count="3">
          <reference field="4294967294" count="1" selected="0">
            <x v="0"/>
          </reference>
          <reference field="14" count="1" selected="0">
            <x v="11"/>
          </reference>
          <reference field="17" count="1" selected="0">
            <x v="0"/>
          </reference>
        </references>
      </pivotArea>
    </chartFormat>
    <chartFormat chart="0" format="53">
      <pivotArea type="data" outline="0" fieldPosition="0">
        <references count="3">
          <reference field="4294967294" count="1" selected="0">
            <x v="0"/>
          </reference>
          <reference field="14" count="1" selected="0">
            <x v="11"/>
          </reference>
          <reference field="17" count="1" selected="0">
            <x v="1"/>
          </reference>
        </references>
      </pivotArea>
    </chartFormat>
    <chartFormat chart="0" format="54">
      <pivotArea type="data" outline="0" fieldPosition="0">
        <references count="3">
          <reference field="4294967294" count="1" selected="0">
            <x v="0"/>
          </reference>
          <reference field="14" count="1" selected="0">
            <x v="12"/>
          </reference>
          <reference field="17" count="1" selected="0">
            <x v="0"/>
          </reference>
        </references>
      </pivotArea>
    </chartFormat>
    <chartFormat chart="0" format="55">
      <pivotArea type="data" outline="0" fieldPosition="0">
        <references count="3">
          <reference field="4294967294" count="1" selected="0">
            <x v="0"/>
          </reference>
          <reference field="14" count="1" selected="0">
            <x v="12"/>
          </reference>
          <reference field="17" count="1" selected="0">
            <x v="1"/>
          </reference>
        </references>
      </pivotArea>
    </chartFormat>
    <chartFormat chart="0" format="56">
      <pivotArea type="data" outline="0" fieldPosition="0">
        <references count="3">
          <reference field="4294967294" count="1" selected="0">
            <x v="0"/>
          </reference>
          <reference field="14" count="1" selected="0">
            <x v="13"/>
          </reference>
          <reference field="17" count="1" selected="0">
            <x v="0"/>
          </reference>
        </references>
      </pivotArea>
    </chartFormat>
    <chartFormat chart="0" format="57">
      <pivotArea type="data" outline="0" fieldPosition="0">
        <references count="3">
          <reference field="4294967294" count="1" selected="0">
            <x v="0"/>
          </reference>
          <reference field="14" count="1" selected="0">
            <x v="13"/>
          </reference>
          <reference field="17" count="1" selected="0">
            <x v="1"/>
          </reference>
        </references>
      </pivotArea>
    </chartFormat>
    <chartFormat chart="0" format="58">
      <pivotArea type="data" outline="0" fieldPosition="0">
        <references count="3">
          <reference field="4294967294" count="1" selected="0">
            <x v="0"/>
          </reference>
          <reference field="14" count="1" selected="0">
            <x v="14"/>
          </reference>
          <reference field="17" count="1" selected="0">
            <x v="0"/>
          </reference>
        </references>
      </pivotArea>
    </chartFormat>
    <chartFormat chart="0" format="59">
      <pivotArea type="data" outline="0" fieldPosition="0">
        <references count="3">
          <reference field="4294967294" count="1" selected="0">
            <x v="0"/>
          </reference>
          <reference field="14" count="1" selected="0">
            <x v="15"/>
          </reference>
          <reference field="17" count="1" selected="0">
            <x v="0"/>
          </reference>
        </references>
      </pivotArea>
    </chartFormat>
    <chartFormat chart="0" format="60">
      <pivotArea type="data" outline="0" fieldPosition="0">
        <references count="3">
          <reference field="4294967294" count="1" selected="0">
            <x v="0"/>
          </reference>
          <reference field="14" count="1" selected="0">
            <x v="15"/>
          </reference>
          <reference field="17" count="1" selected="0">
            <x v="1"/>
          </reference>
        </references>
      </pivotArea>
    </chartFormat>
    <chartFormat chart="0" format="61">
      <pivotArea type="data" outline="0" fieldPosition="0">
        <references count="3">
          <reference field="4294967294" count="1" selected="0">
            <x v="0"/>
          </reference>
          <reference field="14" count="1" selected="0">
            <x v="16"/>
          </reference>
          <reference field="17" count="1" selected="0">
            <x v="0"/>
          </reference>
        </references>
      </pivotArea>
    </chartFormat>
    <chartFormat chart="0" format="62">
      <pivotArea type="data" outline="0" fieldPosition="0">
        <references count="3">
          <reference field="4294967294" count="1" selected="0">
            <x v="0"/>
          </reference>
          <reference field="14" count="1" selected="0">
            <x v="16"/>
          </reference>
          <reference field="17" count="1" selected="0">
            <x v="1"/>
          </reference>
        </references>
      </pivotArea>
    </chartFormat>
    <chartFormat chart="0" format="63">
      <pivotArea type="data" outline="0" fieldPosition="0">
        <references count="3">
          <reference field="4294967294" count="1" selected="0">
            <x v="0"/>
          </reference>
          <reference field="14" count="1" selected="0">
            <x v="17"/>
          </reference>
          <reference field="17" count="1" selected="0">
            <x v="0"/>
          </reference>
        </references>
      </pivotArea>
    </chartFormat>
    <chartFormat chart="0" format="64">
      <pivotArea type="data" outline="0" fieldPosition="0">
        <references count="3">
          <reference field="4294967294" count="1" selected="0">
            <x v="0"/>
          </reference>
          <reference field="14" count="1" selected="0">
            <x v="19"/>
          </reference>
          <reference field="17" count="1" selected="0">
            <x v="0"/>
          </reference>
        </references>
      </pivotArea>
    </chartFormat>
    <chartFormat chart="0" format="65">
      <pivotArea type="data" outline="0" fieldPosition="0">
        <references count="3">
          <reference field="4294967294" count="1" selected="0">
            <x v="0"/>
          </reference>
          <reference field="14" count="1" selected="0">
            <x v="20"/>
          </reference>
          <reference field="17" count="1" selected="0">
            <x v="0"/>
          </reference>
        </references>
      </pivotArea>
    </chartFormat>
    <chartFormat chart="0" format="66">
      <pivotArea type="data" outline="0" fieldPosition="0">
        <references count="3">
          <reference field="4294967294" count="1" selected="0">
            <x v="0"/>
          </reference>
          <reference field="14" count="1" selected="0">
            <x v="21"/>
          </reference>
          <reference field="17" count="1" selected="0">
            <x v="0"/>
          </reference>
        </references>
      </pivotArea>
    </chartFormat>
    <chartFormat chart="0" format="67">
      <pivotArea type="data" outline="0" fieldPosition="0">
        <references count="3">
          <reference field="4294967294" count="1" selected="0">
            <x v="0"/>
          </reference>
          <reference field="14" count="1" selected="0">
            <x v="21"/>
          </reference>
          <reference field="17" count="1" selected="0">
            <x v="1"/>
          </reference>
        </references>
      </pivotArea>
    </chartFormat>
    <chartFormat chart="0" format="68">
      <pivotArea type="data" outline="0" fieldPosition="0">
        <references count="3">
          <reference field="4294967294" count="1" selected="0">
            <x v="0"/>
          </reference>
          <reference field="14" count="1" selected="0">
            <x v="22"/>
          </reference>
          <reference field="1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560AAA8-3CE3-4496-91FF-445FE95CB0E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39" firstHeaderRow="1" firstDataRow="1" firstDataCol="1"/>
  <pivotFields count="18">
    <pivotField showAll="0"/>
    <pivotField numFmtId="15" showAll="0"/>
    <pivotField showAll="0"/>
    <pivotField showAll="0"/>
    <pivotField showAll="0"/>
    <pivotField numFmtId="165" showAll="0"/>
    <pivotField numFmtId="165" showAll="0"/>
    <pivotField showAll="0"/>
    <pivotField numFmtId="165" showAll="0"/>
    <pivotField numFmtId="165" showAll="0"/>
    <pivotField dataField="1" numFmtId="165" showAll="0"/>
    <pivotField numFmtId="165" showAll="0"/>
    <pivotField showAll="0"/>
    <pivotField showAll="0"/>
    <pivotField axis="axisRow" showAll="0">
      <items count="24">
        <item x="9"/>
        <item x="8"/>
        <item x="10"/>
        <item x="7"/>
        <item x="0"/>
        <item x="2"/>
        <item x="1"/>
        <item x="15"/>
        <item x="5"/>
        <item x="3"/>
        <item x="20"/>
        <item x="18"/>
        <item x="13"/>
        <item x="11"/>
        <item x="14"/>
        <item x="19"/>
        <item x="6"/>
        <item x="17"/>
        <item m="1" x="22"/>
        <item x="21"/>
        <item x="16"/>
        <item x="12"/>
        <item x="4"/>
        <item t="default"/>
      </items>
    </pivotField>
    <pivotField showAll="0"/>
    <pivotField showAll="0"/>
    <pivotField axis="axisRow" showAll="0">
      <items count="3">
        <item x="0"/>
        <item x="1"/>
        <item t="default"/>
      </items>
    </pivotField>
  </pivotFields>
  <rowFields count="2">
    <field x="17"/>
    <field x="14"/>
  </rowFields>
  <rowItems count="36">
    <i>
      <x/>
    </i>
    <i r="1">
      <x v="1"/>
    </i>
    <i r="1">
      <x v="3"/>
    </i>
    <i r="1">
      <x v="4"/>
    </i>
    <i r="1">
      <x v="5"/>
    </i>
    <i r="1">
      <x v="6"/>
    </i>
    <i r="1">
      <x v="7"/>
    </i>
    <i r="1">
      <x v="9"/>
    </i>
    <i r="1">
      <x v="11"/>
    </i>
    <i r="1">
      <x v="12"/>
    </i>
    <i r="1">
      <x v="13"/>
    </i>
    <i r="1">
      <x v="14"/>
    </i>
    <i r="1">
      <x v="15"/>
    </i>
    <i r="1">
      <x v="16"/>
    </i>
    <i r="1">
      <x v="17"/>
    </i>
    <i r="1">
      <x v="19"/>
    </i>
    <i r="1">
      <x v="20"/>
    </i>
    <i r="1">
      <x v="21"/>
    </i>
    <i r="1">
      <x v="22"/>
    </i>
    <i>
      <x v="1"/>
    </i>
    <i r="1">
      <x/>
    </i>
    <i r="1">
      <x v="1"/>
    </i>
    <i r="1">
      <x v="2"/>
    </i>
    <i r="1">
      <x v="3"/>
    </i>
    <i r="1">
      <x v="4"/>
    </i>
    <i r="1">
      <x v="6"/>
    </i>
    <i r="1">
      <x v="8"/>
    </i>
    <i r="1">
      <x v="9"/>
    </i>
    <i r="1">
      <x v="10"/>
    </i>
    <i r="1">
      <x v="11"/>
    </i>
    <i r="1">
      <x v="12"/>
    </i>
    <i r="1">
      <x v="13"/>
    </i>
    <i r="1">
      <x v="15"/>
    </i>
    <i r="1">
      <x v="16"/>
    </i>
    <i r="1">
      <x v="21"/>
    </i>
    <i t="grand">
      <x/>
    </i>
  </rowItems>
  <colItems count="1">
    <i/>
  </colItems>
  <dataFields count="1">
    <dataField name="Sum of Net Sales" fld="10" baseField="0" baseItem="0" numFmtId="165"/>
  </dataFields>
  <chartFormats count="6">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1631DEB-FACB-4E74-BDDA-C93C58D357EC}" name="PivotTable10"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7" firstHeaderRow="1" firstDataRow="1" firstDataCol="1"/>
  <pivotFields count="13">
    <pivotField showAll="0"/>
    <pivotField showAll="0"/>
    <pivotField showAll="0"/>
    <pivotField showAll="0"/>
    <pivotField showAll="0"/>
    <pivotField dataField="1" numFmtId="165" showAll="0"/>
    <pivotField showAll="0"/>
    <pivotField showAll="0"/>
    <pivotField showAll="0"/>
    <pivotField showAll="0"/>
    <pivotField axis="axisRow" showAll="0">
      <items count="4">
        <item x="2"/>
        <item x="0"/>
        <item x="1"/>
        <item t="default"/>
      </items>
    </pivotField>
    <pivotField showAll="0"/>
    <pivotField showAll="0"/>
  </pivotFields>
  <rowFields count="1">
    <field x="10"/>
  </rowFields>
  <rowItems count="4">
    <i>
      <x/>
    </i>
    <i>
      <x v="1"/>
    </i>
    <i>
      <x v="2"/>
    </i>
    <i t="grand">
      <x/>
    </i>
  </rowItems>
  <colItems count="1">
    <i/>
  </colItems>
  <dataFields count="1">
    <dataField name="Sum of Total amount" fld="5" baseField="10" baseItem="0" numFmtId="165"/>
  </dataFields>
  <chartFormats count="4">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0" count="1" selected="0">
            <x v="0"/>
          </reference>
        </references>
      </pivotArea>
    </chartFormat>
    <chartFormat chart="1" format="2">
      <pivotArea type="data" outline="0" fieldPosition="0">
        <references count="2">
          <reference field="4294967294" count="1" selected="0">
            <x v="0"/>
          </reference>
          <reference field="10" count="1" selected="0">
            <x v="1"/>
          </reference>
        </references>
      </pivotArea>
    </chartFormat>
    <chartFormat chart="1" format="3">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4C412AF-F6D3-45BA-8DA7-8A1EA3DE4BC4}" name="PivotTable18"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22" firstHeaderRow="1" firstDataRow="1" firstDataCol="1"/>
  <pivotFields count="13">
    <pivotField dataField="1" showAll="0"/>
    <pivotField showAll="0"/>
    <pivotField showAll="0"/>
    <pivotField showAll="0"/>
    <pivotField showAll="0"/>
    <pivotField numFmtId="165" showAll="0"/>
    <pivotField showAll="0"/>
    <pivotField showAll="0"/>
    <pivotField axis="axisRow" showAll="0">
      <items count="19">
        <item x="5"/>
        <item x="16"/>
        <item x="14"/>
        <item x="2"/>
        <item x="12"/>
        <item x="11"/>
        <item x="17"/>
        <item x="8"/>
        <item x="15"/>
        <item x="7"/>
        <item x="3"/>
        <item x="6"/>
        <item x="4"/>
        <item x="9"/>
        <item x="0"/>
        <item x="1"/>
        <item x="10"/>
        <item x="13"/>
        <item t="default"/>
      </items>
    </pivotField>
    <pivotField showAll="0"/>
    <pivotField showAll="0"/>
    <pivotField showAll="0"/>
    <pivotField showAll="0"/>
  </pivotFields>
  <rowFields count="1">
    <field x="8"/>
  </rowFields>
  <rowItems count="19">
    <i>
      <x/>
    </i>
    <i>
      <x v="1"/>
    </i>
    <i>
      <x v="2"/>
    </i>
    <i>
      <x v="3"/>
    </i>
    <i>
      <x v="4"/>
    </i>
    <i>
      <x v="5"/>
    </i>
    <i>
      <x v="6"/>
    </i>
    <i>
      <x v="7"/>
    </i>
    <i>
      <x v="8"/>
    </i>
    <i>
      <x v="9"/>
    </i>
    <i>
      <x v="10"/>
    </i>
    <i>
      <x v="11"/>
    </i>
    <i>
      <x v="12"/>
    </i>
    <i>
      <x v="13"/>
    </i>
    <i>
      <x v="14"/>
    </i>
    <i>
      <x v="15"/>
    </i>
    <i>
      <x v="16"/>
    </i>
    <i>
      <x v="17"/>
    </i>
    <i t="grand">
      <x/>
    </i>
  </rowItems>
  <colItems count="1">
    <i/>
  </colItems>
  <dataFields count="1">
    <dataField name="Count of Customer ID" fld="0" subtotal="count" baseField="0" baseItem="0"/>
  </dataFields>
  <chartFormats count="38">
    <chartFormat chart="0" format="0" series="1">
      <pivotArea type="data" outline="0" fieldPosition="0">
        <references count="1">
          <reference field="4294967294" count="1" selected="0">
            <x v="0"/>
          </reference>
        </references>
      </pivotArea>
    </chartFormat>
    <chartFormat chart="4" format="20" series="1">
      <pivotArea type="data" outline="0" fieldPosition="0">
        <references count="1">
          <reference field="4294967294" count="1" selected="0">
            <x v="0"/>
          </reference>
        </references>
      </pivotArea>
    </chartFormat>
    <chartFormat chart="4" format="21">
      <pivotArea type="data" outline="0" fieldPosition="0">
        <references count="2">
          <reference field="4294967294" count="1" selected="0">
            <x v="0"/>
          </reference>
          <reference field="8" count="1" selected="0">
            <x v="0"/>
          </reference>
        </references>
      </pivotArea>
    </chartFormat>
    <chartFormat chart="4" format="22">
      <pivotArea type="data" outline="0" fieldPosition="0">
        <references count="2">
          <reference field="4294967294" count="1" selected="0">
            <x v="0"/>
          </reference>
          <reference field="8" count="1" selected="0">
            <x v="1"/>
          </reference>
        </references>
      </pivotArea>
    </chartFormat>
    <chartFormat chart="4" format="23">
      <pivotArea type="data" outline="0" fieldPosition="0">
        <references count="2">
          <reference field="4294967294" count="1" selected="0">
            <x v="0"/>
          </reference>
          <reference field="8" count="1" selected="0">
            <x v="2"/>
          </reference>
        </references>
      </pivotArea>
    </chartFormat>
    <chartFormat chart="4" format="24">
      <pivotArea type="data" outline="0" fieldPosition="0">
        <references count="2">
          <reference field="4294967294" count="1" selected="0">
            <x v="0"/>
          </reference>
          <reference field="8" count="1" selected="0">
            <x v="3"/>
          </reference>
        </references>
      </pivotArea>
    </chartFormat>
    <chartFormat chart="4" format="25">
      <pivotArea type="data" outline="0" fieldPosition="0">
        <references count="2">
          <reference field="4294967294" count="1" selected="0">
            <x v="0"/>
          </reference>
          <reference field="8" count="1" selected="0">
            <x v="4"/>
          </reference>
        </references>
      </pivotArea>
    </chartFormat>
    <chartFormat chart="4" format="26">
      <pivotArea type="data" outline="0" fieldPosition="0">
        <references count="2">
          <reference field="4294967294" count="1" selected="0">
            <x v="0"/>
          </reference>
          <reference field="8" count="1" selected="0">
            <x v="5"/>
          </reference>
        </references>
      </pivotArea>
    </chartFormat>
    <chartFormat chart="4" format="27">
      <pivotArea type="data" outline="0" fieldPosition="0">
        <references count="2">
          <reference field="4294967294" count="1" selected="0">
            <x v="0"/>
          </reference>
          <reference field="8" count="1" selected="0">
            <x v="6"/>
          </reference>
        </references>
      </pivotArea>
    </chartFormat>
    <chartFormat chart="4" format="28">
      <pivotArea type="data" outline="0" fieldPosition="0">
        <references count="2">
          <reference field="4294967294" count="1" selected="0">
            <x v="0"/>
          </reference>
          <reference field="8" count="1" selected="0">
            <x v="7"/>
          </reference>
        </references>
      </pivotArea>
    </chartFormat>
    <chartFormat chart="4" format="29">
      <pivotArea type="data" outline="0" fieldPosition="0">
        <references count="2">
          <reference field="4294967294" count="1" selected="0">
            <x v="0"/>
          </reference>
          <reference field="8" count="1" selected="0">
            <x v="8"/>
          </reference>
        </references>
      </pivotArea>
    </chartFormat>
    <chartFormat chart="4" format="30">
      <pivotArea type="data" outline="0" fieldPosition="0">
        <references count="2">
          <reference field="4294967294" count="1" selected="0">
            <x v="0"/>
          </reference>
          <reference field="8" count="1" selected="0">
            <x v="9"/>
          </reference>
        </references>
      </pivotArea>
    </chartFormat>
    <chartFormat chart="4" format="31">
      <pivotArea type="data" outline="0" fieldPosition="0">
        <references count="2">
          <reference field="4294967294" count="1" selected="0">
            <x v="0"/>
          </reference>
          <reference field="8" count="1" selected="0">
            <x v="10"/>
          </reference>
        </references>
      </pivotArea>
    </chartFormat>
    <chartFormat chart="4" format="32">
      <pivotArea type="data" outline="0" fieldPosition="0">
        <references count="2">
          <reference field="4294967294" count="1" selected="0">
            <x v="0"/>
          </reference>
          <reference field="8" count="1" selected="0">
            <x v="11"/>
          </reference>
        </references>
      </pivotArea>
    </chartFormat>
    <chartFormat chart="4" format="33">
      <pivotArea type="data" outline="0" fieldPosition="0">
        <references count="2">
          <reference field="4294967294" count="1" selected="0">
            <x v="0"/>
          </reference>
          <reference field="8" count="1" selected="0">
            <x v="12"/>
          </reference>
        </references>
      </pivotArea>
    </chartFormat>
    <chartFormat chart="4" format="34">
      <pivotArea type="data" outline="0" fieldPosition="0">
        <references count="2">
          <reference field="4294967294" count="1" selected="0">
            <x v="0"/>
          </reference>
          <reference field="8" count="1" selected="0">
            <x v="13"/>
          </reference>
        </references>
      </pivotArea>
    </chartFormat>
    <chartFormat chart="4" format="35">
      <pivotArea type="data" outline="0" fieldPosition="0">
        <references count="2">
          <reference field="4294967294" count="1" selected="0">
            <x v="0"/>
          </reference>
          <reference field="8" count="1" selected="0">
            <x v="14"/>
          </reference>
        </references>
      </pivotArea>
    </chartFormat>
    <chartFormat chart="4" format="36">
      <pivotArea type="data" outline="0" fieldPosition="0">
        <references count="2">
          <reference field="4294967294" count="1" selected="0">
            <x v="0"/>
          </reference>
          <reference field="8" count="1" selected="0">
            <x v="15"/>
          </reference>
        </references>
      </pivotArea>
    </chartFormat>
    <chartFormat chart="4" format="37">
      <pivotArea type="data" outline="0" fieldPosition="0">
        <references count="2">
          <reference field="4294967294" count="1" selected="0">
            <x v="0"/>
          </reference>
          <reference field="8" count="1" selected="0">
            <x v="16"/>
          </reference>
        </references>
      </pivotArea>
    </chartFormat>
    <chartFormat chart="4" format="38">
      <pivotArea type="data" outline="0" fieldPosition="0">
        <references count="2">
          <reference field="4294967294" count="1" selected="0">
            <x v="0"/>
          </reference>
          <reference field="8" count="1" selected="0">
            <x v="17"/>
          </reference>
        </references>
      </pivotArea>
    </chartFormat>
    <chartFormat chart="0" format="19">
      <pivotArea type="data" outline="0" fieldPosition="0">
        <references count="2">
          <reference field="4294967294" count="1" selected="0">
            <x v="0"/>
          </reference>
          <reference field="8" count="1" selected="0">
            <x v="0"/>
          </reference>
        </references>
      </pivotArea>
    </chartFormat>
    <chartFormat chart="0" format="20">
      <pivotArea type="data" outline="0" fieldPosition="0">
        <references count="2">
          <reference field="4294967294" count="1" selected="0">
            <x v="0"/>
          </reference>
          <reference field="8" count="1" selected="0">
            <x v="1"/>
          </reference>
        </references>
      </pivotArea>
    </chartFormat>
    <chartFormat chart="0" format="21">
      <pivotArea type="data" outline="0" fieldPosition="0">
        <references count="2">
          <reference field="4294967294" count="1" selected="0">
            <x v="0"/>
          </reference>
          <reference field="8" count="1" selected="0">
            <x v="2"/>
          </reference>
        </references>
      </pivotArea>
    </chartFormat>
    <chartFormat chart="0" format="22">
      <pivotArea type="data" outline="0" fieldPosition="0">
        <references count="2">
          <reference field="4294967294" count="1" selected="0">
            <x v="0"/>
          </reference>
          <reference field="8" count="1" selected="0">
            <x v="3"/>
          </reference>
        </references>
      </pivotArea>
    </chartFormat>
    <chartFormat chart="0" format="23">
      <pivotArea type="data" outline="0" fieldPosition="0">
        <references count="2">
          <reference field="4294967294" count="1" selected="0">
            <x v="0"/>
          </reference>
          <reference field="8" count="1" selected="0">
            <x v="4"/>
          </reference>
        </references>
      </pivotArea>
    </chartFormat>
    <chartFormat chart="0" format="24">
      <pivotArea type="data" outline="0" fieldPosition="0">
        <references count="2">
          <reference field="4294967294" count="1" selected="0">
            <x v="0"/>
          </reference>
          <reference field="8" count="1" selected="0">
            <x v="5"/>
          </reference>
        </references>
      </pivotArea>
    </chartFormat>
    <chartFormat chart="0" format="25">
      <pivotArea type="data" outline="0" fieldPosition="0">
        <references count="2">
          <reference field="4294967294" count="1" selected="0">
            <x v="0"/>
          </reference>
          <reference field="8" count="1" selected="0">
            <x v="6"/>
          </reference>
        </references>
      </pivotArea>
    </chartFormat>
    <chartFormat chart="0" format="26">
      <pivotArea type="data" outline="0" fieldPosition="0">
        <references count="2">
          <reference field="4294967294" count="1" selected="0">
            <x v="0"/>
          </reference>
          <reference field="8" count="1" selected="0">
            <x v="7"/>
          </reference>
        </references>
      </pivotArea>
    </chartFormat>
    <chartFormat chart="0" format="27">
      <pivotArea type="data" outline="0" fieldPosition="0">
        <references count="2">
          <reference field="4294967294" count="1" selected="0">
            <x v="0"/>
          </reference>
          <reference field="8" count="1" selected="0">
            <x v="8"/>
          </reference>
        </references>
      </pivotArea>
    </chartFormat>
    <chartFormat chart="0" format="28">
      <pivotArea type="data" outline="0" fieldPosition="0">
        <references count="2">
          <reference field="4294967294" count="1" selected="0">
            <x v="0"/>
          </reference>
          <reference field="8" count="1" selected="0">
            <x v="9"/>
          </reference>
        </references>
      </pivotArea>
    </chartFormat>
    <chartFormat chart="0" format="29">
      <pivotArea type="data" outline="0" fieldPosition="0">
        <references count="2">
          <reference field="4294967294" count="1" selected="0">
            <x v="0"/>
          </reference>
          <reference field="8" count="1" selected="0">
            <x v="10"/>
          </reference>
        </references>
      </pivotArea>
    </chartFormat>
    <chartFormat chart="0" format="30">
      <pivotArea type="data" outline="0" fieldPosition="0">
        <references count="2">
          <reference field="4294967294" count="1" selected="0">
            <x v="0"/>
          </reference>
          <reference field="8" count="1" selected="0">
            <x v="11"/>
          </reference>
        </references>
      </pivotArea>
    </chartFormat>
    <chartFormat chart="0" format="31">
      <pivotArea type="data" outline="0" fieldPosition="0">
        <references count="2">
          <reference field="4294967294" count="1" selected="0">
            <x v="0"/>
          </reference>
          <reference field="8" count="1" selected="0">
            <x v="12"/>
          </reference>
        </references>
      </pivotArea>
    </chartFormat>
    <chartFormat chart="0" format="32">
      <pivotArea type="data" outline="0" fieldPosition="0">
        <references count="2">
          <reference field="4294967294" count="1" selected="0">
            <x v="0"/>
          </reference>
          <reference field="8" count="1" selected="0">
            <x v="13"/>
          </reference>
        </references>
      </pivotArea>
    </chartFormat>
    <chartFormat chart="0" format="33">
      <pivotArea type="data" outline="0" fieldPosition="0">
        <references count="2">
          <reference field="4294967294" count="1" selected="0">
            <x v="0"/>
          </reference>
          <reference field="8" count="1" selected="0">
            <x v="14"/>
          </reference>
        </references>
      </pivotArea>
    </chartFormat>
    <chartFormat chart="0" format="34">
      <pivotArea type="data" outline="0" fieldPosition="0">
        <references count="2">
          <reference field="4294967294" count="1" selected="0">
            <x v="0"/>
          </reference>
          <reference field="8" count="1" selected="0">
            <x v="15"/>
          </reference>
        </references>
      </pivotArea>
    </chartFormat>
    <chartFormat chart="0" format="35">
      <pivotArea type="data" outline="0" fieldPosition="0">
        <references count="2">
          <reference field="4294967294" count="1" selected="0">
            <x v="0"/>
          </reference>
          <reference field="8" count="1" selected="0">
            <x v="16"/>
          </reference>
        </references>
      </pivotArea>
    </chartFormat>
    <chartFormat chart="0" format="36">
      <pivotArea type="data" outline="0" fieldPosition="0">
        <references count="2">
          <reference field="4294967294" count="1" selected="0">
            <x v="0"/>
          </reference>
          <reference field="8" count="1" selected="0">
            <x v="1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68B0169-0567-4B9E-AA56-2AD78F5B1FE1}" name="PivotTable1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C94" firstHeaderRow="0" firstDataRow="1" firstDataCol="1"/>
  <pivotFields count="13">
    <pivotField showAll="0"/>
    <pivotField showAll="0"/>
    <pivotField showAll="0"/>
    <pivotField showAll="0"/>
    <pivotField dataField="1" showAll="0"/>
    <pivotField dataField="1" numFmtId="165" showAll="0"/>
    <pivotField showAll="0"/>
    <pivotField showAll="0"/>
    <pivotField axis="axisRow" showAll="0">
      <items count="19">
        <item x="5"/>
        <item x="16"/>
        <item x="14"/>
        <item x="2"/>
        <item x="12"/>
        <item x="11"/>
        <item x="17"/>
        <item x="8"/>
        <item x="15"/>
        <item x="7"/>
        <item x="3"/>
        <item x="6"/>
        <item x="4"/>
        <item x="9"/>
        <item x="0"/>
        <item x="1"/>
        <item x="10"/>
        <item x="13"/>
        <item t="default"/>
      </items>
    </pivotField>
    <pivotField showAll="0"/>
    <pivotField axis="axisRow" showAll="0">
      <items count="4">
        <item x="2"/>
        <item x="0"/>
        <item x="1"/>
        <item t="default"/>
      </items>
    </pivotField>
    <pivotField showAll="0"/>
    <pivotField axis="axisRow" showAll="0">
      <items count="7">
        <item x="3"/>
        <item x="2"/>
        <item x="0"/>
        <item x="4"/>
        <item x="5"/>
        <item x="1"/>
        <item t="default"/>
      </items>
    </pivotField>
  </pivotFields>
  <rowFields count="3">
    <field x="10"/>
    <field x="12"/>
    <field x="8"/>
  </rowFields>
  <rowItems count="91">
    <i>
      <x/>
    </i>
    <i r="1">
      <x/>
    </i>
    <i r="2">
      <x v="4"/>
    </i>
    <i r="1">
      <x v="2"/>
    </i>
    <i r="2">
      <x v="3"/>
    </i>
    <i r="2">
      <x v="15"/>
    </i>
    <i r="1">
      <x v="3"/>
    </i>
    <i r="2">
      <x v="6"/>
    </i>
    <i>
      <x v="1"/>
    </i>
    <i r="1">
      <x v="1"/>
    </i>
    <i r="2">
      <x v="1"/>
    </i>
    <i r="2">
      <x v="3"/>
    </i>
    <i r="2">
      <x v="4"/>
    </i>
    <i r="2">
      <x v="7"/>
    </i>
    <i r="2">
      <x v="9"/>
    </i>
    <i r="2">
      <x v="10"/>
    </i>
    <i r="2">
      <x v="11"/>
    </i>
    <i r="2">
      <x v="15"/>
    </i>
    <i r="1">
      <x v="2"/>
    </i>
    <i r="2">
      <x v="2"/>
    </i>
    <i r="2">
      <x v="4"/>
    </i>
    <i r="2">
      <x v="8"/>
    </i>
    <i r="2">
      <x v="13"/>
    </i>
    <i r="2">
      <x v="14"/>
    </i>
    <i r="2">
      <x v="15"/>
    </i>
    <i r="1">
      <x v="3"/>
    </i>
    <i r="2">
      <x v="3"/>
    </i>
    <i r="2">
      <x v="4"/>
    </i>
    <i r="2">
      <x v="9"/>
    </i>
    <i r="2">
      <x v="15"/>
    </i>
    <i r="2">
      <x v="17"/>
    </i>
    <i r="1">
      <x v="4"/>
    </i>
    <i r="2">
      <x v="4"/>
    </i>
    <i r="1">
      <x v="5"/>
    </i>
    <i r="2">
      <x v="2"/>
    </i>
    <i r="2">
      <x v="4"/>
    </i>
    <i r="2">
      <x v="12"/>
    </i>
    <i r="2">
      <x v="15"/>
    </i>
    <i r="2">
      <x v="17"/>
    </i>
    <i>
      <x v="2"/>
    </i>
    <i r="1">
      <x/>
    </i>
    <i r="2">
      <x/>
    </i>
    <i r="2">
      <x v="4"/>
    </i>
    <i r="2">
      <x v="7"/>
    </i>
    <i r="2">
      <x v="15"/>
    </i>
    <i r="1">
      <x v="1"/>
    </i>
    <i r="2">
      <x/>
    </i>
    <i r="2">
      <x v="2"/>
    </i>
    <i r="2">
      <x v="3"/>
    </i>
    <i r="2">
      <x v="4"/>
    </i>
    <i r="2">
      <x v="9"/>
    </i>
    <i r="2">
      <x v="11"/>
    </i>
    <i r="2">
      <x v="12"/>
    </i>
    <i r="2">
      <x v="15"/>
    </i>
    <i r="2">
      <x v="17"/>
    </i>
    <i r="1">
      <x v="2"/>
    </i>
    <i r="2">
      <x/>
    </i>
    <i r="2">
      <x v="2"/>
    </i>
    <i r="2">
      <x v="4"/>
    </i>
    <i r="2">
      <x v="5"/>
    </i>
    <i r="2">
      <x v="9"/>
    </i>
    <i r="2">
      <x v="11"/>
    </i>
    <i r="2">
      <x v="12"/>
    </i>
    <i r="2">
      <x v="13"/>
    </i>
    <i r="2">
      <x v="15"/>
    </i>
    <i r="2">
      <x v="16"/>
    </i>
    <i r="2">
      <x v="17"/>
    </i>
    <i r="1">
      <x v="3"/>
    </i>
    <i r="2">
      <x/>
    </i>
    <i r="2">
      <x v="2"/>
    </i>
    <i r="2">
      <x v="3"/>
    </i>
    <i r="2">
      <x v="4"/>
    </i>
    <i r="2">
      <x v="6"/>
    </i>
    <i r="2">
      <x v="7"/>
    </i>
    <i r="2">
      <x v="9"/>
    </i>
    <i r="2">
      <x v="15"/>
    </i>
    <i r="2">
      <x v="17"/>
    </i>
    <i r="1">
      <x v="4"/>
    </i>
    <i r="2">
      <x v="2"/>
    </i>
    <i r="2">
      <x v="4"/>
    </i>
    <i r="2">
      <x v="7"/>
    </i>
    <i r="1">
      <x v="5"/>
    </i>
    <i r="2">
      <x/>
    </i>
    <i r="2">
      <x v="2"/>
    </i>
    <i r="2">
      <x v="3"/>
    </i>
    <i r="2">
      <x v="4"/>
    </i>
    <i r="2">
      <x v="6"/>
    </i>
    <i r="2">
      <x v="9"/>
    </i>
    <i r="2">
      <x v="13"/>
    </i>
    <i r="2">
      <x v="15"/>
    </i>
    <i t="grand">
      <x/>
    </i>
  </rowItems>
  <colFields count="1">
    <field x="-2"/>
  </colFields>
  <colItems count="2">
    <i>
      <x/>
    </i>
    <i i="1">
      <x v="1"/>
    </i>
  </colItems>
  <dataFields count="2">
    <dataField name="Sum of Total amount" fld="5" baseField="0" baseItem="0" numFmtId="165"/>
    <dataField name="Count of Quantity" fld="4" subtotal="count" baseField="10" baseItem="0"/>
  </dataFields>
  <chartFormats count="14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4">
          <reference field="4294967294" count="1" selected="0">
            <x v="0"/>
          </reference>
          <reference field="8" count="1" selected="0">
            <x v="4"/>
          </reference>
          <reference field="10" count="1" selected="0">
            <x v="0"/>
          </reference>
          <reference field="12" count="1" selected="0">
            <x v="0"/>
          </reference>
        </references>
      </pivotArea>
    </chartFormat>
    <chartFormat chart="0" format="3">
      <pivotArea type="data" outline="0" fieldPosition="0">
        <references count="4">
          <reference field="4294967294" count="1" selected="0">
            <x v="0"/>
          </reference>
          <reference field="8" count="1" selected="0">
            <x v="3"/>
          </reference>
          <reference field="10" count="1" selected="0">
            <x v="0"/>
          </reference>
          <reference field="12" count="1" selected="0">
            <x v="2"/>
          </reference>
        </references>
      </pivotArea>
    </chartFormat>
    <chartFormat chart="0" format="4">
      <pivotArea type="data" outline="0" fieldPosition="0">
        <references count="4">
          <reference field="4294967294" count="1" selected="0">
            <x v="0"/>
          </reference>
          <reference field="8" count="1" selected="0">
            <x v="15"/>
          </reference>
          <reference field="10" count="1" selected="0">
            <x v="0"/>
          </reference>
          <reference field="12" count="1" selected="0">
            <x v="2"/>
          </reference>
        </references>
      </pivotArea>
    </chartFormat>
    <chartFormat chart="0" format="5">
      <pivotArea type="data" outline="0" fieldPosition="0">
        <references count="4">
          <reference field="4294967294" count="1" selected="0">
            <x v="0"/>
          </reference>
          <reference field="8" count="1" selected="0">
            <x v="6"/>
          </reference>
          <reference field="10" count="1" selected="0">
            <x v="0"/>
          </reference>
          <reference field="12" count="1" selected="0">
            <x v="3"/>
          </reference>
        </references>
      </pivotArea>
    </chartFormat>
    <chartFormat chart="0" format="6">
      <pivotArea type="data" outline="0" fieldPosition="0">
        <references count="4">
          <reference field="4294967294" count="1" selected="0">
            <x v="0"/>
          </reference>
          <reference field="8" count="1" selected="0">
            <x v="1"/>
          </reference>
          <reference field="10" count="1" selected="0">
            <x v="1"/>
          </reference>
          <reference field="12" count="1" selected="0">
            <x v="1"/>
          </reference>
        </references>
      </pivotArea>
    </chartFormat>
    <chartFormat chart="0" format="7">
      <pivotArea type="data" outline="0" fieldPosition="0">
        <references count="4">
          <reference field="4294967294" count="1" selected="0">
            <x v="0"/>
          </reference>
          <reference field="8" count="1" selected="0">
            <x v="3"/>
          </reference>
          <reference field="10" count="1" selected="0">
            <x v="1"/>
          </reference>
          <reference field="12" count="1" selected="0">
            <x v="1"/>
          </reference>
        </references>
      </pivotArea>
    </chartFormat>
    <chartFormat chart="0" format="8">
      <pivotArea type="data" outline="0" fieldPosition="0">
        <references count="4">
          <reference field="4294967294" count="1" selected="0">
            <x v="0"/>
          </reference>
          <reference field="8" count="1" selected="0">
            <x v="4"/>
          </reference>
          <reference field="10" count="1" selected="0">
            <x v="1"/>
          </reference>
          <reference field="12" count="1" selected="0">
            <x v="1"/>
          </reference>
        </references>
      </pivotArea>
    </chartFormat>
    <chartFormat chart="0" format="9">
      <pivotArea type="data" outline="0" fieldPosition="0">
        <references count="4">
          <reference field="4294967294" count="1" selected="0">
            <x v="0"/>
          </reference>
          <reference field="8" count="1" selected="0">
            <x v="7"/>
          </reference>
          <reference field="10" count="1" selected="0">
            <x v="1"/>
          </reference>
          <reference field="12" count="1" selected="0">
            <x v="1"/>
          </reference>
        </references>
      </pivotArea>
    </chartFormat>
    <chartFormat chart="0" format="10">
      <pivotArea type="data" outline="0" fieldPosition="0">
        <references count="4">
          <reference field="4294967294" count="1" selected="0">
            <x v="0"/>
          </reference>
          <reference field="8" count="1" selected="0">
            <x v="9"/>
          </reference>
          <reference field="10" count="1" selected="0">
            <x v="1"/>
          </reference>
          <reference field="12" count="1" selected="0">
            <x v="1"/>
          </reference>
        </references>
      </pivotArea>
    </chartFormat>
    <chartFormat chart="0" format="11">
      <pivotArea type="data" outline="0" fieldPosition="0">
        <references count="4">
          <reference field="4294967294" count="1" selected="0">
            <x v="0"/>
          </reference>
          <reference field="8" count="1" selected="0">
            <x v="10"/>
          </reference>
          <reference field="10" count="1" selected="0">
            <x v="1"/>
          </reference>
          <reference field="12" count="1" selected="0">
            <x v="1"/>
          </reference>
        </references>
      </pivotArea>
    </chartFormat>
    <chartFormat chart="0" format="12">
      <pivotArea type="data" outline="0" fieldPosition="0">
        <references count="4">
          <reference field="4294967294" count="1" selected="0">
            <x v="0"/>
          </reference>
          <reference field="8" count="1" selected="0">
            <x v="11"/>
          </reference>
          <reference field="10" count="1" selected="0">
            <x v="1"/>
          </reference>
          <reference field="12" count="1" selected="0">
            <x v="1"/>
          </reference>
        </references>
      </pivotArea>
    </chartFormat>
    <chartFormat chart="0" format="13">
      <pivotArea type="data" outline="0" fieldPosition="0">
        <references count="4">
          <reference field="4294967294" count="1" selected="0">
            <x v="0"/>
          </reference>
          <reference field="8" count="1" selected="0">
            <x v="15"/>
          </reference>
          <reference field="10" count="1" selected="0">
            <x v="1"/>
          </reference>
          <reference field="12" count="1" selected="0">
            <x v="1"/>
          </reference>
        </references>
      </pivotArea>
    </chartFormat>
    <chartFormat chart="0" format="14">
      <pivotArea type="data" outline="0" fieldPosition="0">
        <references count="4">
          <reference field="4294967294" count="1" selected="0">
            <x v="0"/>
          </reference>
          <reference field="8" count="1" selected="0">
            <x v="2"/>
          </reference>
          <reference field="10" count="1" selected="0">
            <x v="1"/>
          </reference>
          <reference field="12" count="1" selected="0">
            <x v="2"/>
          </reference>
        </references>
      </pivotArea>
    </chartFormat>
    <chartFormat chart="0" format="15">
      <pivotArea type="data" outline="0" fieldPosition="0">
        <references count="4">
          <reference field="4294967294" count="1" selected="0">
            <x v="0"/>
          </reference>
          <reference field="8" count="1" selected="0">
            <x v="4"/>
          </reference>
          <reference field="10" count="1" selected="0">
            <x v="1"/>
          </reference>
          <reference field="12" count="1" selected="0">
            <x v="2"/>
          </reference>
        </references>
      </pivotArea>
    </chartFormat>
    <chartFormat chart="0" format="16">
      <pivotArea type="data" outline="0" fieldPosition="0">
        <references count="4">
          <reference field="4294967294" count="1" selected="0">
            <x v="0"/>
          </reference>
          <reference field="8" count="1" selected="0">
            <x v="8"/>
          </reference>
          <reference field="10" count="1" selected="0">
            <x v="1"/>
          </reference>
          <reference field="12" count="1" selected="0">
            <x v="2"/>
          </reference>
        </references>
      </pivotArea>
    </chartFormat>
    <chartFormat chart="0" format="17">
      <pivotArea type="data" outline="0" fieldPosition="0">
        <references count="4">
          <reference field="4294967294" count="1" selected="0">
            <x v="0"/>
          </reference>
          <reference field="8" count="1" selected="0">
            <x v="13"/>
          </reference>
          <reference field="10" count="1" selected="0">
            <x v="1"/>
          </reference>
          <reference field="12" count="1" selected="0">
            <x v="2"/>
          </reference>
        </references>
      </pivotArea>
    </chartFormat>
    <chartFormat chart="0" format="18">
      <pivotArea type="data" outline="0" fieldPosition="0">
        <references count="4">
          <reference field="4294967294" count="1" selected="0">
            <x v="0"/>
          </reference>
          <reference field="8" count="1" selected="0">
            <x v="14"/>
          </reference>
          <reference field="10" count="1" selected="0">
            <x v="1"/>
          </reference>
          <reference field="12" count="1" selected="0">
            <x v="2"/>
          </reference>
        </references>
      </pivotArea>
    </chartFormat>
    <chartFormat chart="0" format="19">
      <pivotArea type="data" outline="0" fieldPosition="0">
        <references count="4">
          <reference field="4294967294" count="1" selected="0">
            <x v="0"/>
          </reference>
          <reference field="8" count="1" selected="0">
            <x v="15"/>
          </reference>
          <reference field="10" count="1" selected="0">
            <x v="1"/>
          </reference>
          <reference field="12" count="1" selected="0">
            <x v="2"/>
          </reference>
        </references>
      </pivotArea>
    </chartFormat>
    <chartFormat chart="0" format="20">
      <pivotArea type="data" outline="0" fieldPosition="0">
        <references count="4">
          <reference field="4294967294" count="1" selected="0">
            <x v="0"/>
          </reference>
          <reference field="8" count="1" selected="0">
            <x v="3"/>
          </reference>
          <reference field="10" count="1" selected="0">
            <x v="1"/>
          </reference>
          <reference field="12" count="1" selected="0">
            <x v="3"/>
          </reference>
        </references>
      </pivotArea>
    </chartFormat>
    <chartFormat chart="0" format="21">
      <pivotArea type="data" outline="0" fieldPosition="0">
        <references count="4">
          <reference field="4294967294" count="1" selected="0">
            <x v="0"/>
          </reference>
          <reference field="8" count="1" selected="0">
            <x v="4"/>
          </reference>
          <reference field="10" count="1" selected="0">
            <x v="1"/>
          </reference>
          <reference field="12" count="1" selected="0">
            <x v="3"/>
          </reference>
        </references>
      </pivotArea>
    </chartFormat>
    <chartFormat chart="0" format="22">
      <pivotArea type="data" outline="0" fieldPosition="0">
        <references count="4">
          <reference field="4294967294" count="1" selected="0">
            <x v="0"/>
          </reference>
          <reference field="8" count="1" selected="0">
            <x v="9"/>
          </reference>
          <reference field="10" count="1" selected="0">
            <x v="1"/>
          </reference>
          <reference field="12" count="1" selected="0">
            <x v="3"/>
          </reference>
        </references>
      </pivotArea>
    </chartFormat>
    <chartFormat chart="0" format="23">
      <pivotArea type="data" outline="0" fieldPosition="0">
        <references count="4">
          <reference field="4294967294" count="1" selected="0">
            <x v="0"/>
          </reference>
          <reference field="8" count="1" selected="0">
            <x v="15"/>
          </reference>
          <reference field="10" count="1" selected="0">
            <x v="1"/>
          </reference>
          <reference field="12" count="1" selected="0">
            <x v="3"/>
          </reference>
        </references>
      </pivotArea>
    </chartFormat>
    <chartFormat chart="0" format="24">
      <pivotArea type="data" outline="0" fieldPosition="0">
        <references count="4">
          <reference field="4294967294" count="1" selected="0">
            <x v="0"/>
          </reference>
          <reference field="8" count="1" selected="0">
            <x v="17"/>
          </reference>
          <reference field="10" count="1" selected="0">
            <x v="1"/>
          </reference>
          <reference field="12" count="1" selected="0">
            <x v="3"/>
          </reference>
        </references>
      </pivotArea>
    </chartFormat>
    <chartFormat chart="0" format="25">
      <pivotArea type="data" outline="0" fieldPosition="0">
        <references count="4">
          <reference field="4294967294" count="1" selected="0">
            <x v="0"/>
          </reference>
          <reference field="8" count="1" selected="0">
            <x v="4"/>
          </reference>
          <reference field="10" count="1" selected="0">
            <x v="1"/>
          </reference>
          <reference field="12" count="1" selected="0">
            <x v="4"/>
          </reference>
        </references>
      </pivotArea>
    </chartFormat>
    <chartFormat chart="0" format="26">
      <pivotArea type="data" outline="0" fieldPosition="0">
        <references count="4">
          <reference field="4294967294" count="1" selected="0">
            <x v="0"/>
          </reference>
          <reference field="8" count="1" selected="0">
            <x v="2"/>
          </reference>
          <reference field="10" count="1" selected="0">
            <x v="1"/>
          </reference>
          <reference field="12" count="1" selected="0">
            <x v="5"/>
          </reference>
        </references>
      </pivotArea>
    </chartFormat>
    <chartFormat chart="0" format="27">
      <pivotArea type="data" outline="0" fieldPosition="0">
        <references count="4">
          <reference field="4294967294" count="1" selected="0">
            <x v="0"/>
          </reference>
          <reference field="8" count="1" selected="0">
            <x v="4"/>
          </reference>
          <reference field="10" count="1" selected="0">
            <x v="1"/>
          </reference>
          <reference field="12" count="1" selected="0">
            <x v="5"/>
          </reference>
        </references>
      </pivotArea>
    </chartFormat>
    <chartFormat chart="0" format="28">
      <pivotArea type="data" outline="0" fieldPosition="0">
        <references count="4">
          <reference field="4294967294" count="1" selected="0">
            <x v="0"/>
          </reference>
          <reference field="8" count="1" selected="0">
            <x v="12"/>
          </reference>
          <reference field="10" count="1" selected="0">
            <x v="1"/>
          </reference>
          <reference field="12" count="1" selected="0">
            <x v="5"/>
          </reference>
        </references>
      </pivotArea>
    </chartFormat>
    <chartFormat chart="0" format="29">
      <pivotArea type="data" outline="0" fieldPosition="0">
        <references count="4">
          <reference field="4294967294" count="1" selected="0">
            <x v="0"/>
          </reference>
          <reference field="8" count="1" selected="0">
            <x v="15"/>
          </reference>
          <reference field="10" count="1" selected="0">
            <x v="1"/>
          </reference>
          <reference field="12" count="1" selected="0">
            <x v="5"/>
          </reference>
        </references>
      </pivotArea>
    </chartFormat>
    <chartFormat chart="0" format="30">
      <pivotArea type="data" outline="0" fieldPosition="0">
        <references count="4">
          <reference field="4294967294" count="1" selected="0">
            <x v="0"/>
          </reference>
          <reference field="8" count="1" selected="0">
            <x v="17"/>
          </reference>
          <reference field="10" count="1" selected="0">
            <x v="1"/>
          </reference>
          <reference field="12" count="1" selected="0">
            <x v="5"/>
          </reference>
        </references>
      </pivotArea>
    </chartFormat>
    <chartFormat chart="0" format="31">
      <pivotArea type="data" outline="0" fieldPosition="0">
        <references count="4">
          <reference field="4294967294" count="1" selected="0">
            <x v="0"/>
          </reference>
          <reference field="8" count="1" selected="0">
            <x v="0"/>
          </reference>
          <reference field="10" count="1" selected="0">
            <x v="2"/>
          </reference>
          <reference field="12" count="1" selected="0">
            <x v="0"/>
          </reference>
        </references>
      </pivotArea>
    </chartFormat>
    <chartFormat chart="0" format="32">
      <pivotArea type="data" outline="0" fieldPosition="0">
        <references count="4">
          <reference field="4294967294" count="1" selected="0">
            <x v="0"/>
          </reference>
          <reference field="8" count="1" selected="0">
            <x v="4"/>
          </reference>
          <reference field="10" count="1" selected="0">
            <x v="2"/>
          </reference>
          <reference field="12" count="1" selected="0">
            <x v="0"/>
          </reference>
        </references>
      </pivotArea>
    </chartFormat>
    <chartFormat chart="0" format="33">
      <pivotArea type="data" outline="0" fieldPosition="0">
        <references count="4">
          <reference field="4294967294" count="1" selected="0">
            <x v="0"/>
          </reference>
          <reference field="8" count="1" selected="0">
            <x v="7"/>
          </reference>
          <reference field="10" count="1" selected="0">
            <x v="2"/>
          </reference>
          <reference field="12" count="1" selected="0">
            <x v="0"/>
          </reference>
        </references>
      </pivotArea>
    </chartFormat>
    <chartFormat chart="0" format="34">
      <pivotArea type="data" outline="0" fieldPosition="0">
        <references count="4">
          <reference field="4294967294" count="1" selected="0">
            <x v="0"/>
          </reference>
          <reference field="8" count="1" selected="0">
            <x v="15"/>
          </reference>
          <reference field="10" count="1" selected="0">
            <x v="2"/>
          </reference>
          <reference field="12" count="1" selected="0">
            <x v="0"/>
          </reference>
        </references>
      </pivotArea>
    </chartFormat>
    <chartFormat chart="0" format="35">
      <pivotArea type="data" outline="0" fieldPosition="0">
        <references count="4">
          <reference field="4294967294" count="1" selected="0">
            <x v="0"/>
          </reference>
          <reference field="8" count="1" selected="0">
            <x v="0"/>
          </reference>
          <reference field="10" count="1" selected="0">
            <x v="2"/>
          </reference>
          <reference field="12" count="1" selected="0">
            <x v="1"/>
          </reference>
        </references>
      </pivotArea>
    </chartFormat>
    <chartFormat chart="0" format="36">
      <pivotArea type="data" outline="0" fieldPosition="0">
        <references count="4">
          <reference field="4294967294" count="1" selected="0">
            <x v="0"/>
          </reference>
          <reference field="8" count="1" selected="0">
            <x v="2"/>
          </reference>
          <reference field="10" count="1" selected="0">
            <x v="2"/>
          </reference>
          <reference field="12" count="1" selected="0">
            <x v="1"/>
          </reference>
        </references>
      </pivotArea>
    </chartFormat>
    <chartFormat chart="0" format="37">
      <pivotArea type="data" outline="0" fieldPosition="0">
        <references count="4">
          <reference field="4294967294" count="1" selected="0">
            <x v="0"/>
          </reference>
          <reference field="8" count="1" selected="0">
            <x v="3"/>
          </reference>
          <reference field="10" count="1" selected="0">
            <x v="2"/>
          </reference>
          <reference field="12" count="1" selected="0">
            <x v="1"/>
          </reference>
        </references>
      </pivotArea>
    </chartFormat>
    <chartFormat chart="0" format="38">
      <pivotArea type="data" outline="0" fieldPosition="0">
        <references count="4">
          <reference field="4294967294" count="1" selected="0">
            <x v="0"/>
          </reference>
          <reference field="8" count="1" selected="0">
            <x v="4"/>
          </reference>
          <reference field="10" count="1" selected="0">
            <x v="2"/>
          </reference>
          <reference field="12" count="1" selected="0">
            <x v="1"/>
          </reference>
        </references>
      </pivotArea>
    </chartFormat>
    <chartFormat chart="0" format="39">
      <pivotArea type="data" outline="0" fieldPosition="0">
        <references count="4">
          <reference field="4294967294" count="1" selected="0">
            <x v="0"/>
          </reference>
          <reference field="8" count="1" selected="0">
            <x v="9"/>
          </reference>
          <reference field="10" count="1" selected="0">
            <x v="2"/>
          </reference>
          <reference field="12" count="1" selected="0">
            <x v="1"/>
          </reference>
        </references>
      </pivotArea>
    </chartFormat>
    <chartFormat chart="0" format="40">
      <pivotArea type="data" outline="0" fieldPosition="0">
        <references count="4">
          <reference field="4294967294" count="1" selected="0">
            <x v="0"/>
          </reference>
          <reference field="8" count="1" selected="0">
            <x v="11"/>
          </reference>
          <reference field="10" count="1" selected="0">
            <x v="2"/>
          </reference>
          <reference field="12" count="1" selected="0">
            <x v="1"/>
          </reference>
        </references>
      </pivotArea>
    </chartFormat>
    <chartFormat chart="0" format="41">
      <pivotArea type="data" outline="0" fieldPosition="0">
        <references count="4">
          <reference field="4294967294" count="1" selected="0">
            <x v="0"/>
          </reference>
          <reference field="8" count="1" selected="0">
            <x v="12"/>
          </reference>
          <reference field="10" count="1" selected="0">
            <x v="2"/>
          </reference>
          <reference field="12" count="1" selected="0">
            <x v="1"/>
          </reference>
        </references>
      </pivotArea>
    </chartFormat>
    <chartFormat chart="0" format="42">
      <pivotArea type="data" outline="0" fieldPosition="0">
        <references count="4">
          <reference field="4294967294" count="1" selected="0">
            <x v="0"/>
          </reference>
          <reference field="8" count="1" selected="0">
            <x v="15"/>
          </reference>
          <reference field="10" count="1" selected="0">
            <x v="2"/>
          </reference>
          <reference field="12" count="1" selected="0">
            <x v="1"/>
          </reference>
        </references>
      </pivotArea>
    </chartFormat>
    <chartFormat chart="0" format="43">
      <pivotArea type="data" outline="0" fieldPosition="0">
        <references count="4">
          <reference field="4294967294" count="1" selected="0">
            <x v="0"/>
          </reference>
          <reference field="8" count="1" selected="0">
            <x v="17"/>
          </reference>
          <reference field="10" count="1" selected="0">
            <x v="2"/>
          </reference>
          <reference field="12" count="1" selected="0">
            <x v="1"/>
          </reference>
        </references>
      </pivotArea>
    </chartFormat>
    <chartFormat chart="0" format="44">
      <pivotArea type="data" outline="0" fieldPosition="0">
        <references count="4">
          <reference field="4294967294" count="1" selected="0">
            <x v="0"/>
          </reference>
          <reference field="8" count="1" selected="0">
            <x v="0"/>
          </reference>
          <reference field="10" count="1" selected="0">
            <x v="2"/>
          </reference>
          <reference field="12" count="1" selected="0">
            <x v="2"/>
          </reference>
        </references>
      </pivotArea>
    </chartFormat>
    <chartFormat chart="0" format="45">
      <pivotArea type="data" outline="0" fieldPosition="0">
        <references count="4">
          <reference field="4294967294" count="1" selected="0">
            <x v="0"/>
          </reference>
          <reference field="8" count="1" selected="0">
            <x v="2"/>
          </reference>
          <reference field="10" count="1" selected="0">
            <x v="2"/>
          </reference>
          <reference field="12" count="1" selected="0">
            <x v="2"/>
          </reference>
        </references>
      </pivotArea>
    </chartFormat>
    <chartFormat chart="0" format="46">
      <pivotArea type="data" outline="0" fieldPosition="0">
        <references count="4">
          <reference field="4294967294" count="1" selected="0">
            <x v="0"/>
          </reference>
          <reference field="8" count="1" selected="0">
            <x v="4"/>
          </reference>
          <reference field="10" count="1" selected="0">
            <x v="2"/>
          </reference>
          <reference field="12" count="1" selected="0">
            <x v="2"/>
          </reference>
        </references>
      </pivotArea>
    </chartFormat>
    <chartFormat chart="0" format="47">
      <pivotArea type="data" outline="0" fieldPosition="0">
        <references count="4">
          <reference field="4294967294" count="1" selected="0">
            <x v="0"/>
          </reference>
          <reference field="8" count="1" selected="0">
            <x v="5"/>
          </reference>
          <reference field="10" count="1" selected="0">
            <x v="2"/>
          </reference>
          <reference field="12" count="1" selected="0">
            <x v="2"/>
          </reference>
        </references>
      </pivotArea>
    </chartFormat>
    <chartFormat chart="0" format="48">
      <pivotArea type="data" outline="0" fieldPosition="0">
        <references count="4">
          <reference field="4294967294" count="1" selected="0">
            <x v="0"/>
          </reference>
          <reference field="8" count="1" selected="0">
            <x v="9"/>
          </reference>
          <reference field="10" count="1" selected="0">
            <x v="2"/>
          </reference>
          <reference field="12" count="1" selected="0">
            <x v="2"/>
          </reference>
        </references>
      </pivotArea>
    </chartFormat>
    <chartFormat chart="0" format="49">
      <pivotArea type="data" outline="0" fieldPosition="0">
        <references count="4">
          <reference field="4294967294" count="1" selected="0">
            <x v="0"/>
          </reference>
          <reference field="8" count="1" selected="0">
            <x v="11"/>
          </reference>
          <reference field="10" count="1" selected="0">
            <x v="2"/>
          </reference>
          <reference field="12" count="1" selected="0">
            <x v="2"/>
          </reference>
        </references>
      </pivotArea>
    </chartFormat>
    <chartFormat chart="0" format="50">
      <pivotArea type="data" outline="0" fieldPosition="0">
        <references count="4">
          <reference field="4294967294" count="1" selected="0">
            <x v="0"/>
          </reference>
          <reference field="8" count="1" selected="0">
            <x v="12"/>
          </reference>
          <reference field="10" count="1" selected="0">
            <x v="2"/>
          </reference>
          <reference field="12" count="1" selected="0">
            <x v="2"/>
          </reference>
        </references>
      </pivotArea>
    </chartFormat>
    <chartFormat chart="0" format="51">
      <pivotArea type="data" outline="0" fieldPosition="0">
        <references count="4">
          <reference field="4294967294" count="1" selected="0">
            <x v="0"/>
          </reference>
          <reference field="8" count="1" selected="0">
            <x v="13"/>
          </reference>
          <reference field="10" count="1" selected="0">
            <x v="2"/>
          </reference>
          <reference field="12" count="1" selected="0">
            <x v="2"/>
          </reference>
        </references>
      </pivotArea>
    </chartFormat>
    <chartFormat chart="0" format="52">
      <pivotArea type="data" outline="0" fieldPosition="0">
        <references count="4">
          <reference field="4294967294" count="1" selected="0">
            <x v="0"/>
          </reference>
          <reference field="8" count="1" selected="0">
            <x v="15"/>
          </reference>
          <reference field="10" count="1" selected="0">
            <x v="2"/>
          </reference>
          <reference field="12" count="1" selected="0">
            <x v="2"/>
          </reference>
        </references>
      </pivotArea>
    </chartFormat>
    <chartFormat chart="0" format="53">
      <pivotArea type="data" outline="0" fieldPosition="0">
        <references count="4">
          <reference field="4294967294" count="1" selected="0">
            <x v="0"/>
          </reference>
          <reference field="8" count="1" selected="0">
            <x v="16"/>
          </reference>
          <reference field="10" count="1" selected="0">
            <x v="2"/>
          </reference>
          <reference field="12" count="1" selected="0">
            <x v="2"/>
          </reference>
        </references>
      </pivotArea>
    </chartFormat>
    <chartFormat chart="0" format="54">
      <pivotArea type="data" outline="0" fieldPosition="0">
        <references count="4">
          <reference field="4294967294" count="1" selected="0">
            <x v="0"/>
          </reference>
          <reference field="8" count="1" selected="0">
            <x v="17"/>
          </reference>
          <reference field="10" count="1" selected="0">
            <x v="2"/>
          </reference>
          <reference field="12" count="1" selected="0">
            <x v="2"/>
          </reference>
        </references>
      </pivotArea>
    </chartFormat>
    <chartFormat chart="0" format="55">
      <pivotArea type="data" outline="0" fieldPosition="0">
        <references count="4">
          <reference field="4294967294" count="1" selected="0">
            <x v="0"/>
          </reference>
          <reference field="8" count="1" selected="0">
            <x v="0"/>
          </reference>
          <reference field="10" count="1" selected="0">
            <x v="2"/>
          </reference>
          <reference field="12" count="1" selected="0">
            <x v="3"/>
          </reference>
        </references>
      </pivotArea>
    </chartFormat>
    <chartFormat chart="0" format="56">
      <pivotArea type="data" outline="0" fieldPosition="0">
        <references count="4">
          <reference field="4294967294" count="1" selected="0">
            <x v="0"/>
          </reference>
          <reference field="8" count="1" selected="0">
            <x v="2"/>
          </reference>
          <reference field="10" count="1" selected="0">
            <x v="2"/>
          </reference>
          <reference field="12" count="1" selected="0">
            <x v="3"/>
          </reference>
        </references>
      </pivotArea>
    </chartFormat>
    <chartFormat chart="0" format="57">
      <pivotArea type="data" outline="0" fieldPosition="0">
        <references count="4">
          <reference field="4294967294" count="1" selected="0">
            <x v="0"/>
          </reference>
          <reference field="8" count="1" selected="0">
            <x v="3"/>
          </reference>
          <reference field="10" count="1" selected="0">
            <x v="2"/>
          </reference>
          <reference field="12" count="1" selected="0">
            <x v="3"/>
          </reference>
        </references>
      </pivotArea>
    </chartFormat>
    <chartFormat chart="0" format="58">
      <pivotArea type="data" outline="0" fieldPosition="0">
        <references count="4">
          <reference field="4294967294" count="1" selected="0">
            <x v="0"/>
          </reference>
          <reference field="8" count="1" selected="0">
            <x v="4"/>
          </reference>
          <reference field="10" count="1" selected="0">
            <x v="2"/>
          </reference>
          <reference field="12" count="1" selected="0">
            <x v="3"/>
          </reference>
        </references>
      </pivotArea>
    </chartFormat>
    <chartFormat chart="0" format="59">
      <pivotArea type="data" outline="0" fieldPosition="0">
        <references count="4">
          <reference field="4294967294" count="1" selected="0">
            <x v="0"/>
          </reference>
          <reference field="8" count="1" selected="0">
            <x v="6"/>
          </reference>
          <reference field="10" count="1" selected="0">
            <x v="2"/>
          </reference>
          <reference field="12" count="1" selected="0">
            <x v="3"/>
          </reference>
        </references>
      </pivotArea>
    </chartFormat>
    <chartFormat chart="0" format="60">
      <pivotArea type="data" outline="0" fieldPosition="0">
        <references count="4">
          <reference field="4294967294" count="1" selected="0">
            <x v="0"/>
          </reference>
          <reference field="8" count="1" selected="0">
            <x v="7"/>
          </reference>
          <reference field="10" count="1" selected="0">
            <x v="2"/>
          </reference>
          <reference field="12" count="1" selected="0">
            <x v="3"/>
          </reference>
        </references>
      </pivotArea>
    </chartFormat>
    <chartFormat chart="0" format="61">
      <pivotArea type="data" outline="0" fieldPosition="0">
        <references count="4">
          <reference field="4294967294" count="1" selected="0">
            <x v="0"/>
          </reference>
          <reference field="8" count="1" selected="0">
            <x v="9"/>
          </reference>
          <reference field="10" count="1" selected="0">
            <x v="2"/>
          </reference>
          <reference field="12" count="1" selected="0">
            <x v="3"/>
          </reference>
        </references>
      </pivotArea>
    </chartFormat>
    <chartFormat chart="0" format="62">
      <pivotArea type="data" outline="0" fieldPosition="0">
        <references count="4">
          <reference field="4294967294" count="1" selected="0">
            <x v="0"/>
          </reference>
          <reference field="8" count="1" selected="0">
            <x v="15"/>
          </reference>
          <reference field="10" count="1" selected="0">
            <x v="2"/>
          </reference>
          <reference field="12" count="1" selected="0">
            <x v="3"/>
          </reference>
        </references>
      </pivotArea>
    </chartFormat>
    <chartFormat chart="0" format="63">
      <pivotArea type="data" outline="0" fieldPosition="0">
        <references count="4">
          <reference field="4294967294" count="1" selected="0">
            <x v="0"/>
          </reference>
          <reference field="8" count="1" selected="0">
            <x v="17"/>
          </reference>
          <reference field="10" count="1" selected="0">
            <x v="2"/>
          </reference>
          <reference field="12" count="1" selected="0">
            <x v="3"/>
          </reference>
        </references>
      </pivotArea>
    </chartFormat>
    <chartFormat chart="0" format="64">
      <pivotArea type="data" outline="0" fieldPosition="0">
        <references count="4">
          <reference field="4294967294" count="1" selected="0">
            <x v="0"/>
          </reference>
          <reference field="8" count="1" selected="0">
            <x v="2"/>
          </reference>
          <reference field="10" count="1" selected="0">
            <x v="2"/>
          </reference>
          <reference field="12" count="1" selected="0">
            <x v="4"/>
          </reference>
        </references>
      </pivotArea>
    </chartFormat>
    <chartFormat chart="0" format="65">
      <pivotArea type="data" outline="0" fieldPosition="0">
        <references count="4">
          <reference field="4294967294" count="1" selected="0">
            <x v="0"/>
          </reference>
          <reference field="8" count="1" selected="0">
            <x v="4"/>
          </reference>
          <reference field="10" count="1" selected="0">
            <x v="2"/>
          </reference>
          <reference field="12" count="1" selected="0">
            <x v="4"/>
          </reference>
        </references>
      </pivotArea>
    </chartFormat>
    <chartFormat chart="0" format="66">
      <pivotArea type="data" outline="0" fieldPosition="0">
        <references count="4">
          <reference field="4294967294" count="1" selected="0">
            <x v="0"/>
          </reference>
          <reference field="8" count="1" selected="0">
            <x v="7"/>
          </reference>
          <reference field="10" count="1" selected="0">
            <x v="2"/>
          </reference>
          <reference field="12" count="1" selected="0">
            <x v="4"/>
          </reference>
        </references>
      </pivotArea>
    </chartFormat>
    <chartFormat chart="0" format="67">
      <pivotArea type="data" outline="0" fieldPosition="0">
        <references count="4">
          <reference field="4294967294" count="1" selected="0">
            <x v="0"/>
          </reference>
          <reference field="8" count="1" selected="0">
            <x v="0"/>
          </reference>
          <reference field="10" count="1" selected="0">
            <x v="2"/>
          </reference>
          <reference field="12" count="1" selected="0">
            <x v="5"/>
          </reference>
        </references>
      </pivotArea>
    </chartFormat>
    <chartFormat chart="0" format="68">
      <pivotArea type="data" outline="0" fieldPosition="0">
        <references count="4">
          <reference field="4294967294" count="1" selected="0">
            <x v="0"/>
          </reference>
          <reference field="8" count="1" selected="0">
            <x v="2"/>
          </reference>
          <reference field="10" count="1" selected="0">
            <x v="2"/>
          </reference>
          <reference field="12" count="1" selected="0">
            <x v="5"/>
          </reference>
        </references>
      </pivotArea>
    </chartFormat>
    <chartFormat chart="0" format="69">
      <pivotArea type="data" outline="0" fieldPosition="0">
        <references count="4">
          <reference field="4294967294" count="1" selected="0">
            <x v="0"/>
          </reference>
          <reference field="8" count="1" selected="0">
            <x v="3"/>
          </reference>
          <reference field="10" count="1" selected="0">
            <x v="2"/>
          </reference>
          <reference field="12" count="1" selected="0">
            <x v="5"/>
          </reference>
        </references>
      </pivotArea>
    </chartFormat>
    <chartFormat chart="0" format="70">
      <pivotArea type="data" outline="0" fieldPosition="0">
        <references count="4">
          <reference field="4294967294" count="1" selected="0">
            <x v="0"/>
          </reference>
          <reference field="8" count="1" selected="0">
            <x v="4"/>
          </reference>
          <reference field="10" count="1" selected="0">
            <x v="2"/>
          </reference>
          <reference field="12" count="1" selected="0">
            <x v="5"/>
          </reference>
        </references>
      </pivotArea>
    </chartFormat>
    <chartFormat chart="0" format="71">
      <pivotArea type="data" outline="0" fieldPosition="0">
        <references count="4">
          <reference field="4294967294" count="1" selected="0">
            <x v="0"/>
          </reference>
          <reference field="8" count="1" selected="0">
            <x v="6"/>
          </reference>
          <reference field="10" count="1" selected="0">
            <x v="2"/>
          </reference>
          <reference field="12" count="1" selected="0">
            <x v="5"/>
          </reference>
        </references>
      </pivotArea>
    </chartFormat>
    <chartFormat chart="0" format="72">
      <pivotArea type="data" outline="0" fieldPosition="0">
        <references count="4">
          <reference field="4294967294" count="1" selected="0">
            <x v="0"/>
          </reference>
          <reference field="8" count="1" selected="0">
            <x v="9"/>
          </reference>
          <reference field="10" count="1" selected="0">
            <x v="2"/>
          </reference>
          <reference field="12" count="1" selected="0">
            <x v="5"/>
          </reference>
        </references>
      </pivotArea>
    </chartFormat>
    <chartFormat chart="0" format="73">
      <pivotArea type="data" outline="0" fieldPosition="0">
        <references count="4">
          <reference field="4294967294" count="1" selected="0">
            <x v="0"/>
          </reference>
          <reference field="8" count="1" selected="0">
            <x v="13"/>
          </reference>
          <reference field="10" count="1" selected="0">
            <x v="2"/>
          </reference>
          <reference field="12" count="1" selected="0">
            <x v="5"/>
          </reference>
        </references>
      </pivotArea>
    </chartFormat>
    <chartFormat chart="0" format="74">
      <pivotArea type="data" outline="0" fieldPosition="0">
        <references count="4">
          <reference field="4294967294" count="1" selected="0">
            <x v="0"/>
          </reference>
          <reference field="8" count="1" selected="0">
            <x v="15"/>
          </reference>
          <reference field="10" count="1" selected="0">
            <x v="2"/>
          </reference>
          <reference field="12" count="1" selected="0">
            <x v="5"/>
          </reference>
        </references>
      </pivotArea>
    </chartFormat>
    <chartFormat chart="0" format="75">
      <pivotArea type="data" outline="0" fieldPosition="0">
        <references count="4">
          <reference field="4294967294" count="1" selected="0">
            <x v="1"/>
          </reference>
          <reference field="8" count="1" selected="0">
            <x v="4"/>
          </reference>
          <reference field="10" count="1" selected="0">
            <x v="0"/>
          </reference>
          <reference field="12" count="1" selected="0">
            <x v="0"/>
          </reference>
        </references>
      </pivotArea>
    </chartFormat>
    <chartFormat chart="0" format="76">
      <pivotArea type="data" outline="0" fieldPosition="0">
        <references count="4">
          <reference field="4294967294" count="1" selected="0">
            <x v="1"/>
          </reference>
          <reference field="8" count="1" selected="0">
            <x v="3"/>
          </reference>
          <reference field="10" count="1" selected="0">
            <x v="0"/>
          </reference>
          <reference field="12" count="1" selected="0">
            <x v="2"/>
          </reference>
        </references>
      </pivotArea>
    </chartFormat>
    <chartFormat chart="0" format="77">
      <pivotArea type="data" outline="0" fieldPosition="0">
        <references count="4">
          <reference field="4294967294" count="1" selected="0">
            <x v="1"/>
          </reference>
          <reference field="8" count="1" selected="0">
            <x v="15"/>
          </reference>
          <reference field="10" count="1" selected="0">
            <x v="0"/>
          </reference>
          <reference field="12" count="1" selected="0">
            <x v="2"/>
          </reference>
        </references>
      </pivotArea>
    </chartFormat>
    <chartFormat chart="0" format="78">
      <pivotArea type="data" outline="0" fieldPosition="0">
        <references count="4">
          <reference field="4294967294" count="1" selected="0">
            <x v="1"/>
          </reference>
          <reference field="8" count="1" selected="0">
            <x v="6"/>
          </reference>
          <reference field="10" count="1" selected="0">
            <x v="0"/>
          </reference>
          <reference field="12" count="1" selected="0">
            <x v="3"/>
          </reference>
        </references>
      </pivotArea>
    </chartFormat>
    <chartFormat chart="0" format="79">
      <pivotArea type="data" outline="0" fieldPosition="0">
        <references count="4">
          <reference field="4294967294" count="1" selected="0">
            <x v="1"/>
          </reference>
          <reference field="8" count="1" selected="0">
            <x v="1"/>
          </reference>
          <reference field="10" count="1" selected="0">
            <x v="1"/>
          </reference>
          <reference field="12" count="1" selected="0">
            <x v="1"/>
          </reference>
        </references>
      </pivotArea>
    </chartFormat>
    <chartFormat chart="0" format="80">
      <pivotArea type="data" outline="0" fieldPosition="0">
        <references count="4">
          <reference field="4294967294" count="1" selected="0">
            <x v="1"/>
          </reference>
          <reference field="8" count="1" selected="0">
            <x v="3"/>
          </reference>
          <reference field="10" count="1" selected="0">
            <x v="1"/>
          </reference>
          <reference field="12" count="1" selected="0">
            <x v="1"/>
          </reference>
        </references>
      </pivotArea>
    </chartFormat>
    <chartFormat chart="0" format="81">
      <pivotArea type="data" outline="0" fieldPosition="0">
        <references count="4">
          <reference field="4294967294" count="1" selected="0">
            <x v="1"/>
          </reference>
          <reference field="8" count="1" selected="0">
            <x v="4"/>
          </reference>
          <reference field="10" count="1" selected="0">
            <x v="1"/>
          </reference>
          <reference field="12" count="1" selected="0">
            <x v="1"/>
          </reference>
        </references>
      </pivotArea>
    </chartFormat>
    <chartFormat chart="0" format="82">
      <pivotArea type="data" outline="0" fieldPosition="0">
        <references count="4">
          <reference field="4294967294" count="1" selected="0">
            <x v="1"/>
          </reference>
          <reference field="8" count="1" selected="0">
            <x v="7"/>
          </reference>
          <reference field="10" count="1" selected="0">
            <x v="1"/>
          </reference>
          <reference field="12" count="1" selected="0">
            <x v="1"/>
          </reference>
        </references>
      </pivotArea>
    </chartFormat>
    <chartFormat chart="0" format="83">
      <pivotArea type="data" outline="0" fieldPosition="0">
        <references count="4">
          <reference field="4294967294" count="1" selected="0">
            <x v="1"/>
          </reference>
          <reference field="8" count="1" selected="0">
            <x v="9"/>
          </reference>
          <reference field="10" count="1" selected="0">
            <x v="1"/>
          </reference>
          <reference field="12" count="1" selected="0">
            <x v="1"/>
          </reference>
        </references>
      </pivotArea>
    </chartFormat>
    <chartFormat chart="0" format="84">
      <pivotArea type="data" outline="0" fieldPosition="0">
        <references count="4">
          <reference field="4294967294" count="1" selected="0">
            <x v="1"/>
          </reference>
          <reference field="8" count="1" selected="0">
            <x v="10"/>
          </reference>
          <reference field="10" count="1" selected="0">
            <x v="1"/>
          </reference>
          <reference field="12" count="1" selected="0">
            <x v="1"/>
          </reference>
        </references>
      </pivotArea>
    </chartFormat>
    <chartFormat chart="0" format="85">
      <pivotArea type="data" outline="0" fieldPosition="0">
        <references count="4">
          <reference field="4294967294" count="1" selected="0">
            <x v="1"/>
          </reference>
          <reference field="8" count="1" selected="0">
            <x v="11"/>
          </reference>
          <reference field="10" count="1" selected="0">
            <x v="1"/>
          </reference>
          <reference field="12" count="1" selected="0">
            <x v="1"/>
          </reference>
        </references>
      </pivotArea>
    </chartFormat>
    <chartFormat chart="0" format="86">
      <pivotArea type="data" outline="0" fieldPosition="0">
        <references count="4">
          <reference field="4294967294" count="1" selected="0">
            <x v="1"/>
          </reference>
          <reference field="8" count="1" selected="0">
            <x v="15"/>
          </reference>
          <reference field="10" count="1" selected="0">
            <x v="1"/>
          </reference>
          <reference field="12" count="1" selected="0">
            <x v="1"/>
          </reference>
        </references>
      </pivotArea>
    </chartFormat>
    <chartFormat chart="0" format="87">
      <pivotArea type="data" outline="0" fieldPosition="0">
        <references count="4">
          <reference field="4294967294" count="1" selected="0">
            <x v="1"/>
          </reference>
          <reference field="8" count="1" selected="0">
            <x v="2"/>
          </reference>
          <reference field="10" count="1" selected="0">
            <x v="1"/>
          </reference>
          <reference field="12" count="1" selected="0">
            <x v="2"/>
          </reference>
        </references>
      </pivotArea>
    </chartFormat>
    <chartFormat chart="0" format="88">
      <pivotArea type="data" outline="0" fieldPosition="0">
        <references count="4">
          <reference field="4294967294" count="1" selected="0">
            <x v="1"/>
          </reference>
          <reference field="8" count="1" selected="0">
            <x v="4"/>
          </reference>
          <reference field="10" count="1" selected="0">
            <x v="1"/>
          </reference>
          <reference field="12" count="1" selected="0">
            <x v="2"/>
          </reference>
        </references>
      </pivotArea>
    </chartFormat>
    <chartFormat chart="0" format="89">
      <pivotArea type="data" outline="0" fieldPosition="0">
        <references count="4">
          <reference field="4294967294" count="1" selected="0">
            <x v="1"/>
          </reference>
          <reference field="8" count="1" selected="0">
            <x v="8"/>
          </reference>
          <reference field="10" count="1" selected="0">
            <x v="1"/>
          </reference>
          <reference field="12" count="1" selected="0">
            <x v="2"/>
          </reference>
        </references>
      </pivotArea>
    </chartFormat>
    <chartFormat chart="0" format="90">
      <pivotArea type="data" outline="0" fieldPosition="0">
        <references count="4">
          <reference field="4294967294" count="1" selected="0">
            <x v="1"/>
          </reference>
          <reference field="8" count="1" selected="0">
            <x v="13"/>
          </reference>
          <reference field="10" count="1" selected="0">
            <x v="1"/>
          </reference>
          <reference field="12" count="1" selected="0">
            <x v="2"/>
          </reference>
        </references>
      </pivotArea>
    </chartFormat>
    <chartFormat chart="0" format="91">
      <pivotArea type="data" outline="0" fieldPosition="0">
        <references count="4">
          <reference field="4294967294" count="1" selected="0">
            <x v="1"/>
          </reference>
          <reference field="8" count="1" selected="0">
            <x v="14"/>
          </reference>
          <reference field="10" count="1" selected="0">
            <x v="1"/>
          </reference>
          <reference field="12" count="1" selected="0">
            <x v="2"/>
          </reference>
        </references>
      </pivotArea>
    </chartFormat>
    <chartFormat chart="0" format="92">
      <pivotArea type="data" outline="0" fieldPosition="0">
        <references count="4">
          <reference field="4294967294" count="1" selected="0">
            <x v="1"/>
          </reference>
          <reference field="8" count="1" selected="0">
            <x v="15"/>
          </reference>
          <reference field="10" count="1" selected="0">
            <x v="1"/>
          </reference>
          <reference field="12" count="1" selected="0">
            <x v="2"/>
          </reference>
        </references>
      </pivotArea>
    </chartFormat>
    <chartFormat chart="0" format="93">
      <pivotArea type="data" outline="0" fieldPosition="0">
        <references count="4">
          <reference field="4294967294" count="1" selected="0">
            <x v="1"/>
          </reference>
          <reference field="8" count="1" selected="0">
            <x v="3"/>
          </reference>
          <reference field="10" count="1" selected="0">
            <x v="1"/>
          </reference>
          <reference field="12" count="1" selected="0">
            <x v="3"/>
          </reference>
        </references>
      </pivotArea>
    </chartFormat>
    <chartFormat chart="0" format="94">
      <pivotArea type="data" outline="0" fieldPosition="0">
        <references count="4">
          <reference field="4294967294" count="1" selected="0">
            <x v="1"/>
          </reference>
          <reference field="8" count="1" selected="0">
            <x v="4"/>
          </reference>
          <reference field="10" count="1" selected="0">
            <x v="1"/>
          </reference>
          <reference field="12" count="1" selected="0">
            <x v="3"/>
          </reference>
        </references>
      </pivotArea>
    </chartFormat>
    <chartFormat chart="0" format="95">
      <pivotArea type="data" outline="0" fieldPosition="0">
        <references count="4">
          <reference field="4294967294" count="1" selected="0">
            <x v="1"/>
          </reference>
          <reference field="8" count="1" selected="0">
            <x v="9"/>
          </reference>
          <reference field="10" count="1" selected="0">
            <x v="1"/>
          </reference>
          <reference field="12" count="1" selected="0">
            <x v="3"/>
          </reference>
        </references>
      </pivotArea>
    </chartFormat>
    <chartFormat chart="0" format="96">
      <pivotArea type="data" outline="0" fieldPosition="0">
        <references count="4">
          <reference field="4294967294" count="1" selected="0">
            <x v="1"/>
          </reference>
          <reference field="8" count="1" selected="0">
            <x v="15"/>
          </reference>
          <reference field="10" count="1" selected="0">
            <x v="1"/>
          </reference>
          <reference field="12" count="1" selected="0">
            <x v="3"/>
          </reference>
        </references>
      </pivotArea>
    </chartFormat>
    <chartFormat chart="0" format="97">
      <pivotArea type="data" outline="0" fieldPosition="0">
        <references count="4">
          <reference field="4294967294" count="1" selected="0">
            <x v="1"/>
          </reference>
          <reference field="8" count="1" selected="0">
            <x v="17"/>
          </reference>
          <reference field="10" count="1" selected="0">
            <x v="1"/>
          </reference>
          <reference field="12" count="1" selected="0">
            <x v="3"/>
          </reference>
        </references>
      </pivotArea>
    </chartFormat>
    <chartFormat chart="0" format="98">
      <pivotArea type="data" outline="0" fieldPosition="0">
        <references count="4">
          <reference field="4294967294" count="1" selected="0">
            <x v="1"/>
          </reference>
          <reference field="8" count="1" selected="0">
            <x v="4"/>
          </reference>
          <reference field="10" count="1" selected="0">
            <x v="1"/>
          </reference>
          <reference field="12" count="1" selected="0">
            <x v="4"/>
          </reference>
        </references>
      </pivotArea>
    </chartFormat>
    <chartFormat chart="0" format="99">
      <pivotArea type="data" outline="0" fieldPosition="0">
        <references count="4">
          <reference field="4294967294" count="1" selected="0">
            <x v="1"/>
          </reference>
          <reference field="8" count="1" selected="0">
            <x v="2"/>
          </reference>
          <reference field="10" count="1" selected="0">
            <x v="1"/>
          </reference>
          <reference field="12" count="1" selected="0">
            <x v="5"/>
          </reference>
        </references>
      </pivotArea>
    </chartFormat>
    <chartFormat chart="0" format="100">
      <pivotArea type="data" outline="0" fieldPosition="0">
        <references count="4">
          <reference field="4294967294" count="1" selected="0">
            <x v="1"/>
          </reference>
          <reference field="8" count="1" selected="0">
            <x v="4"/>
          </reference>
          <reference field="10" count="1" selected="0">
            <x v="1"/>
          </reference>
          <reference field="12" count="1" selected="0">
            <x v="5"/>
          </reference>
        </references>
      </pivotArea>
    </chartFormat>
    <chartFormat chart="0" format="101">
      <pivotArea type="data" outline="0" fieldPosition="0">
        <references count="4">
          <reference field="4294967294" count="1" selected="0">
            <x v="1"/>
          </reference>
          <reference field="8" count="1" selected="0">
            <x v="12"/>
          </reference>
          <reference field="10" count="1" selected="0">
            <x v="1"/>
          </reference>
          <reference field="12" count="1" selected="0">
            <x v="5"/>
          </reference>
        </references>
      </pivotArea>
    </chartFormat>
    <chartFormat chart="0" format="102">
      <pivotArea type="data" outline="0" fieldPosition="0">
        <references count="4">
          <reference field="4294967294" count="1" selected="0">
            <x v="1"/>
          </reference>
          <reference field="8" count="1" selected="0">
            <x v="15"/>
          </reference>
          <reference field="10" count="1" selected="0">
            <x v="1"/>
          </reference>
          <reference field="12" count="1" selected="0">
            <x v="5"/>
          </reference>
        </references>
      </pivotArea>
    </chartFormat>
    <chartFormat chart="0" format="103">
      <pivotArea type="data" outline="0" fieldPosition="0">
        <references count="4">
          <reference field="4294967294" count="1" selected="0">
            <x v="1"/>
          </reference>
          <reference field="8" count="1" selected="0">
            <x v="17"/>
          </reference>
          <reference field="10" count="1" selected="0">
            <x v="1"/>
          </reference>
          <reference field="12" count="1" selected="0">
            <x v="5"/>
          </reference>
        </references>
      </pivotArea>
    </chartFormat>
    <chartFormat chart="0" format="104">
      <pivotArea type="data" outline="0" fieldPosition="0">
        <references count="4">
          <reference field="4294967294" count="1" selected="0">
            <x v="1"/>
          </reference>
          <reference field="8" count="1" selected="0">
            <x v="0"/>
          </reference>
          <reference field="10" count="1" selected="0">
            <x v="2"/>
          </reference>
          <reference field="12" count="1" selected="0">
            <x v="0"/>
          </reference>
        </references>
      </pivotArea>
    </chartFormat>
    <chartFormat chart="0" format="105">
      <pivotArea type="data" outline="0" fieldPosition="0">
        <references count="4">
          <reference field="4294967294" count="1" selected="0">
            <x v="1"/>
          </reference>
          <reference field="8" count="1" selected="0">
            <x v="4"/>
          </reference>
          <reference field="10" count="1" selected="0">
            <x v="2"/>
          </reference>
          <reference field="12" count="1" selected="0">
            <x v="0"/>
          </reference>
        </references>
      </pivotArea>
    </chartFormat>
    <chartFormat chart="0" format="106">
      <pivotArea type="data" outline="0" fieldPosition="0">
        <references count="4">
          <reference field="4294967294" count="1" selected="0">
            <x v="1"/>
          </reference>
          <reference field="8" count="1" selected="0">
            <x v="7"/>
          </reference>
          <reference field="10" count="1" selected="0">
            <x v="2"/>
          </reference>
          <reference field="12" count="1" selected="0">
            <x v="0"/>
          </reference>
        </references>
      </pivotArea>
    </chartFormat>
    <chartFormat chart="0" format="107">
      <pivotArea type="data" outline="0" fieldPosition="0">
        <references count="4">
          <reference field="4294967294" count="1" selected="0">
            <x v="1"/>
          </reference>
          <reference field="8" count="1" selected="0">
            <x v="15"/>
          </reference>
          <reference field="10" count="1" selected="0">
            <x v="2"/>
          </reference>
          <reference field="12" count="1" selected="0">
            <x v="0"/>
          </reference>
        </references>
      </pivotArea>
    </chartFormat>
    <chartFormat chart="0" format="108">
      <pivotArea type="data" outline="0" fieldPosition="0">
        <references count="4">
          <reference field="4294967294" count="1" selected="0">
            <x v="1"/>
          </reference>
          <reference field="8" count="1" selected="0">
            <x v="0"/>
          </reference>
          <reference field="10" count="1" selected="0">
            <x v="2"/>
          </reference>
          <reference field="12" count="1" selected="0">
            <x v="1"/>
          </reference>
        </references>
      </pivotArea>
    </chartFormat>
    <chartFormat chart="0" format="109">
      <pivotArea type="data" outline="0" fieldPosition="0">
        <references count="4">
          <reference field="4294967294" count="1" selected="0">
            <x v="1"/>
          </reference>
          <reference field="8" count="1" selected="0">
            <x v="2"/>
          </reference>
          <reference field="10" count="1" selected="0">
            <x v="2"/>
          </reference>
          <reference field="12" count="1" selected="0">
            <x v="1"/>
          </reference>
        </references>
      </pivotArea>
    </chartFormat>
    <chartFormat chart="0" format="110">
      <pivotArea type="data" outline="0" fieldPosition="0">
        <references count="4">
          <reference field="4294967294" count="1" selected="0">
            <x v="1"/>
          </reference>
          <reference field="8" count="1" selected="0">
            <x v="3"/>
          </reference>
          <reference field="10" count="1" selected="0">
            <x v="2"/>
          </reference>
          <reference field="12" count="1" selected="0">
            <x v="1"/>
          </reference>
        </references>
      </pivotArea>
    </chartFormat>
    <chartFormat chart="0" format="111">
      <pivotArea type="data" outline="0" fieldPosition="0">
        <references count="4">
          <reference field="4294967294" count="1" selected="0">
            <x v="1"/>
          </reference>
          <reference field="8" count="1" selected="0">
            <x v="4"/>
          </reference>
          <reference field="10" count="1" selected="0">
            <x v="2"/>
          </reference>
          <reference field="12" count="1" selected="0">
            <x v="1"/>
          </reference>
        </references>
      </pivotArea>
    </chartFormat>
    <chartFormat chart="0" format="112">
      <pivotArea type="data" outline="0" fieldPosition="0">
        <references count="4">
          <reference field="4294967294" count="1" selected="0">
            <x v="1"/>
          </reference>
          <reference field="8" count="1" selected="0">
            <x v="9"/>
          </reference>
          <reference field="10" count="1" selected="0">
            <x v="2"/>
          </reference>
          <reference field="12" count="1" selected="0">
            <x v="1"/>
          </reference>
        </references>
      </pivotArea>
    </chartFormat>
    <chartFormat chart="0" format="113">
      <pivotArea type="data" outline="0" fieldPosition="0">
        <references count="4">
          <reference field="4294967294" count="1" selected="0">
            <x v="1"/>
          </reference>
          <reference field="8" count="1" selected="0">
            <x v="11"/>
          </reference>
          <reference field="10" count="1" selected="0">
            <x v="2"/>
          </reference>
          <reference field="12" count="1" selected="0">
            <x v="1"/>
          </reference>
        </references>
      </pivotArea>
    </chartFormat>
    <chartFormat chart="0" format="114">
      <pivotArea type="data" outline="0" fieldPosition="0">
        <references count="4">
          <reference field="4294967294" count="1" selected="0">
            <x v="1"/>
          </reference>
          <reference field="8" count="1" selected="0">
            <x v="12"/>
          </reference>
          <reference field="10" count="1" selected="0">
            <x v="2"/>
          </reference>
          <reference field="12" count="1" selected="0">
            <x v="1"/>
          </reference>
        </references>
      </pivotArea>
    </chartFormat>
    <chartFormat chart="0" format="115">
      <pivotArea type="data" outline="0" fieldPosition="0">
        <references count="4">
          <reference field="4294967294" count="1" selected="0">
            <x v="1"/>
          </reference>
          <reference field="8" count="1" selected="0">
            <x v="15"/>
          </reference>
          <reference field="10" count="1" selected="0">
            <x v="2"/>
          </reference>
          <reference field="12" count="1" selected="0">
            <x v="1"/>
          </reference>
        </references>
      </pivotArea>
    </chartFormat>
    <chartFormat chart="0" format="116">
      <pivotArea type="data" outline="0" fieldPosition="0">
        <references count="4">
          <reference field="4294967294" count="1" selected="0">
            <x v="1"/>
          </reference>
          <reference field="8" count="1" selected="0">
            <x v="17"/>
          </reference>
          <reference field="10" count="1" selected="0">
            <x v="2"/>
          </reference>
          <reference field="12" count="1" selected="0">
            <x v="1"/>
          </reference>
        </references>
      </pivotArea>
    </chartFormat>
    <chartFormat chart="0" format="117">
      <pivotArea type="data" outline="0" fieldPosition="0">
        <references count="4">
          <reference field="4294967294" count="1" selected="0">
            <x v="1"/>
          </reference>
          <reference field="8" count="1" selected="0">
            <x v="0"/>
          </reference>
          <reference field="10" count="1" selected="0">
            <x v="2"/>
          </reference>
          <reference field="12" count="1" selected="0">
            <x v="2"/>
          </reference>
        </references>
      </pivotArea>
    </chartFormat>
    <chartFormat chart="0" format="118">
      <pivotArea type="data" outline="0" fieldPosition="0">
        <references count="4">
          <reference field="4294967294" count="1" selected="0">
            <x v="1"/>
          </reference>
          <reference field="8" count="1" selected="0">
            <x v="2"/>
          </reference>
          <reference field="10" count="1" selected="0">
            <x v="2"/>
          </reference>
          <reference field="12" count="1" selected="0">
            <x v="2"/>
          </reference>
        </references>
      </pivotArea>
    </chartFormat>
    <chartFormat chart="0" format="119">
      <pivotArea type="data" outline="0" fieldPosition="0">
        <references count="4">
          <reference field="4294967294" count="1" selected="0">
            <x v="1"/>
          </reference>
          <reference field="8" count="1" selected="0">
            <x v="4"/>
          </reference>
          <reference field="10" count="1" selected="0">
            <x v="2"/>
          </reference>
          <reference field="12" count="1" selected="0">
            <x v="2"/>
          </reference>
        </references>
      </pivotArea>
    </chartFormat>
    <chartFormat chart="0" format="120">
      <pivotArea type="data" outline="0" fieldPosition="0">
        <references count="4">
          <reference field="4294967294" count="1" selected="0">
            <x v="1"/>
          </reference>
          <reference field="8" count="1" selected="0">
            <x v="5"/>
          </reference>
          <reference field="10" count="1" selected="0">
            <x v="2"/>
          </reference>
          <reference field="12" count="1" selected="0">
            <x v="2"/>
          </reference>
        </references>
      </pivotArea>
    </chartFormat>
    <chartFormat chart="0" format="121">
      <pivotArea type="data" outline="0" fieldPosition="0">
        <references count="4">
          <reference field="4294967294" count="1" selected="0">
            <x v="1"/>
          </reference>
          <reference field="8" count="1" selected="0">
            <x v="9"/>
          </reference>
          <reference field="10" count="1" selected="0">
            <x v="2"/>
          </reference>
          <reference field="12" count="1" selected="0">
            <x v="2"/>
          </reference>
        </references>
      </pivotArea>
    </chartFormat>
    <chartFormat chart="0" format="122">
      <pivotArea type="data" outline="0" fieldPosition="0">
        <references count="4">
          <reference field="4294967294" count="1" selected="0">
            <x v="1"/>
          </reference>
          <reference field="8" count="1" selected="0">
            <x v="11"/>
          </reference>
          <reference field="10" count="1" selected="0">
            <x v="2"/>
          </reference>
          <reference field="12" count="1" selected="0">
            <x v="2"/>
          </reference>
        </references>
      </pivotArea>
    </chartFormat>
    <chartFormat chart="0" format="123">
      <pivotArea type="data" outline="0" fieldPosition="0">
        <references count="4">
          <reference field="4294967294" count="1" selected="0">
            <x v="1"/>
          </reference>
          <reference field="8" count="1" selected="0">
            <x v="12"/>
          </reference>
          <reference field="10" count="1" selected="0">
            <x v="2"/>
          </reference>
          <reference field="12" count="1" selected="0">
            <x v="2"/>
          </reference>
        </references>
      </pivotArea>
    </chartFormat>
    <chartFormat chart="0" format="124">
      <pivotArea type="data" outline="0" fieldPosition="0">
        <references count="4">
          <reference field="4294967294" count="1" selected="0">
            <x v="1"/>
          </reference>
          <reference field="8" count="1" selected="0">
            <x v="13"/>
          </reference>
          <reference field="10" count="1" selected="0">
            <x v="2"/>
          </reference>
          <reference field="12" count="1" selected="0">
            <x v="2"/>
          </reference>
        </references>
      </pivotArea>
    </chartFormat>
    <chartFormat chart="0" format="125">
      <pivotArea type="data" outline="0" fieldPosition="0">
        <references count="4">
          <reference field="4294967294" count="1" selected="0">
            <x v="1"/>
          </reference>
          <reference field="8" count="1" selected="0">
            <x v="15"/>
          </reference>
          <reference field="10" count="1" selected="0">
            <x v="2"/>
          </reference>
          <reference field="12" count="1" selected="0">
            <x v="2"/>
          </reference>
        </references>
      </pivotArea>
    </chartFormat>
    <chartFormat chart="0" format="126">
      <pivotArea type="data" outline="0" fieldPosition="0">
        <references count="4">
          <reference field="4294967294" count="1" selected="0">
            <x v="1"/>
          </reference>
          <reference field="8" count="1" selected="0">
            <x v="16"/>
          </reference>
          <reference field="10" count="1" selected="0">
            <x v="2"/>
          </reference>
          <reference field="12" count="1" selected="0">
            <x v="2"/>
          </reference>
        </references>
      </pivotArea>
    </chartFormat>
    <chartFormat chart="0" format="127">
      <pivotArea type="data" outline="0" fieldPosition="0">
        <references count="4">
          <reference field="4294967294" count="1" selected="0">
            <x v="1"/>
          </reference>
          <reference field="8" count="1" selected="0">
            <x v="17"/>
          </reference>
          <reference field="10" count="1" selected="0">
            <x v="2"/>
          </reference>
          <reference field="12" count="1" selected="0">
            <x v="2"/>
          </reference>
        </references>
      </pivotArea>
    </chartFormat>
    <chartFormat chart="0" format="128">
      <pivotArea type="data" outline="0" fieldPosition="0">
        <references count="4">
          <reference field="4294967294" count="1" selected="0">
            <x v="1"/>
          </reference>
          <reference field="8" count="1" selected="0">
            <x v="0"/>
          </reference>
          <reference field="10" count="1" selected="0">
            <x v="2"/>
          </reference>
          <reference field="12" count="1" selected="0">
            <x v="3"/>
          </reference>
        </references>
      </pivotArea>
    </chartFormat>
    <chartFormat chart="0" format="129">
      <pivotArea type="data" outline="0" fieldPosition="0">
        <references count="4">
          <reference field="4294967294" count="1" selected="0">
            <x v="1"/>
          </reference>
          <reference field="8" count="1" selected="0">
            <x v="2"/>
          </reference>
          <reference field="10" count="1" selected="0">
            <x v="2"/>
          </reference>
          <reference field="12" count="1" selected="0">
            <x v="3"/>
          </reference>
        </references>
      </pivotArea>
    </chartFormat>
    <chartFormat chart="0" format="130">
      <pivotArea type="data" outline="0" fieldPosition="0">
        <references count="4">
          <reference field="4294967294" count="1" selected="0">
            <x v="1"/>
          </reference>
          <reference field="8" count="1" selected="0">
            <x v="3"/>
          </reference>
          <reference field="10" count="1" selected="0">
            <x v="2"/>
          </reference>
          <reference field="12" count="1" selected="0">
            <x v="3"/>
          </reference>
        </references>
      </pivotArea>
    </chartFormat>
    <chartFormat chart="0" format="131">
      <pivotArea type="data" outline="0" fieldPosition="0">
        <references count="4">
          <reference field="4294967294" count="1" selected="0">
            <x v="1"/>
          </reference>
          <reference field="8" count="1" selected="0">
            <x v="4"/>
          </reference>
          <reference field="10" count="1" selected="0">
            <x v="2"/>
          </reference>
          <reference field="12" count="1" selected="0">
            <x v="3"/>
          </reference>
        </references>
      </pivotArea>
    </chartFormat>
    <chartFormat chart="0" format="132">
      <pivotArea type="data" outline="0" fieldPosition="0">
        <references count="4">
          <reference field="4294967294" count="1" selected="0">
            <x v="1"/>
          </reference>
          <reference field="8" count="1" selected="0">
            <x v="6"/>
          </reference>
          <reference field="10" count="1" selected="0">
            <x v="2"/>
          </reference>
          <reference field="12" count="1" selected="0">
            <x v="3"/>
          </reference>
        </references>
      </pivotArea>
    </chartFormat>
    <chartFormat chart="0" format="133">
      <pivotArea type="data" outline="0" fieldPosition="0">
        <references count="4">
          <reference field="4294967294" count="1" selected="0">
            <x v="1"/>
          </reference>
          <reference field="8" count="1" selected="0">
            <x v="7"/>
          </reference>
          <reference field="10" count="1" selected="0">
            <x v="2"/>
          </reference>
          <reference field="12" count="1" selected="0">
            <x v="3"/>
          </reference>
        </references>
      </pivotArea>
    </chartFormat>
    <chartFormat chart="0" format="134">
      <pivotArea type="data" outline="0" fieldPosition="0">
        <references count="4">
          <reference field="4294967294" count="1" selected="0">
            <x v="1"/>
          </reference>
          <reference field="8" count="1" selected="0">
            <x v="9"/>
          </reference>
          <reference field="10" count="1" selected="0">
            <x v="2"/>
          </reference>
          <reference field="12" count="1" selected="0">
            <x v="3"/>
          </reference>
        </references>
      </pivotArea>
    </chartFormat>
    <chartFormat chart="0" format="135">
      <pivotArea type="data" outline="0" fieldPosition="0">
        <references count="4">
          <reference field="4294967294" count="1" selected="0">
            <x v="1"/>
          </reference>
          <reference field="8" count="1" selected="0">
            <x v="15"/>
          </reference>
          <reference field="10" count="1" selected="0">
            <x v="2"/>
          </reference>
          <reference field="12" count="1" selected="0">
            <x v="3"/>
          </reference>
        </references>
      </pivotArea>
    </chartFormat>
    <chartFormat chart="0" format="136">
      <pivotArea type="data" outline="0" fieldPosition="0">
        <references count="4">
          <reference field="4294967294" count="1" selected="0">
            <x v="1"/>
          </reference>
          <reference field="8" count="1" selected="0">
            <x v="17"/>
          </reference>
          <reference field="10" count="1" selected="0">
            <x v="2"/>
          </reference>
          <reference field="12" count="1" selected="0">
            <x v="3"/>
          </reference>
        </references>
      </pivotArea>
    </chartFormat>
    <chartFormat chart="0" format="137">
      <pivotArea type="data" outline="0" fieldPosition="0">
        <references count="4">
          <reference field="4294967294" count="1" selected="0">
            <x v="1"/>
          </reference>
          <reference field="8" count="1" selected="0">
            <x v="2"/>
          </reference>
          <reference field="10" count="1" selected="0">
            <x v="2"/>
          </reference>
          <reference field="12" count="1" selected="0">
            <x v="4"/>
          </reference>
        </references>
      </pivotArea>
    </chartFormat>
    <chartFormat chart="0" format="138">
      <pivotArea type="data" outline="0" fieldPosition="0">
        <references count="4">
          <reference field="4294967294" count="1" selected="0">
            <x v="1"/>
          </reference>
          <reference field="8" count="1" selected="0">
            <x v="4"/>
          </reference>
          <reference field="10" count="1" selected="0">
            <x v="2"/>
          </reference>
          <reference field="12" count="1" selected="0">
            <x v="4"/>
          </reference>
        </references>
      </pivotArea>
    </chartFormat>
    <chartFormat chart="0" format="139">
      <pivotArea type="data" outline="0" fieldPosition="0">
        <references count="4">
          <reference field="4294967294" count="1" selected="0">
            <x v="1"/>
          </reference>
          <reference field="8" count="1" selected="0">
            <x v="7"/>
          </reference>
          <reference field="10" count="1" selected="0">
            <x v="2"/>
          </reference>
          <reference field="12" count="1" selected="0">
            <x v="4"/>
          </reference>
        </references>
      </pivotArea>
    </chartFormat>
    <chartFormat chart="0" format="140">
      <pivotArea type="data" outline="0" fieldPosition="0">
        <references count="4">
          <reference field="4294967294" count="1" selected="0">
            <x v="1"/>
          </reference>
          <reference field="8" count="1" selected="0">
            <x v="0"/>
          </reference>
          <reference field="10" count="1" selected="0">
            <x v="2"/>
          </reference>
          <reference field="12" count="1" selected="0">
            <x v="5"/>
          </reference>
        </references>
      </pivotArea>
    </chartFormat>
    <chartFormat chart="0" format="141">
      <pivotArea type="data" outline="0" fieldPosition="0">
        <references count="4">
          <reference field="4294967294" count="1" selected="0">
            <x v="1"/>
          </reference>
          <reference field="8" count="1" selected="0">
            <x v="2"/>
          </reference>
          <reference field="10" count="1" selected="0">
            <x v="2"/>
          </reference>
          <reference field="12" count="1" selected="0">
            <x v="5"/>
          </reference>
        </references>
      </pivotArea>
    </chartFormat>
    <chartFormat chart="0" format="142">
      <pivotArea type="data" outline="0" fieldPosition="0">
        <references count="4">
          <reference field="4294967294" count="1" selected="0">
            <x v="1"/>
          </reference>
          <reference field="8" count="1" selected="0">
            <x v="3"/>
          </reference>
          <reference field="10" count="1" selected="0">
            <x v="2"/>
          </reference>
          <reference field="12" count="1" selected="0">
            <x v="5"/>
          </reference>
        </references>
      </pivotArea>
    </chartFormat>
    <chartFormat chart="0" format="143">
      <pivotArea type="data" outline="0" fieldPosition="0">
        <references count="4">
          <reference field="4294967294" count="1" selected="0">
            <x v="1"/>
          </reference>
          <reference field="8" count="1" selected="0">
            <x v="4"/>
          </reference>
          <reference field="10" count="1" selected="0">
            <x v="2"/>
          </reference>
          <reference field="12" count="1" selected="0">
            <x v="5"/>
          </reference>
        </references>
      </pivotArea>
    </chartFormat>
    <chartFormat chart="0" format="144">
      <pivotArea type="data" outline="0" fieldPosition="0">
        <references count="4">
          <reference field="4294967294" count="1" selected="0">
            <x v="1"/>
          </reference>
          <reference field="8" count="1" selected="0">
            <x v="6"/>
          </reference>
          <reference field="10" count="1" selected="0">
            <x v="2"/>
          </reference>
          <reference field="12" count="1" selected="0">
            <x v="5"/>
          </reference>
        </references>
      </pivotArea>
    </chartFormat>
    <chartFormat chart="0" format="145">
      <pivotArea type="data" outline="0" fieldPosition="0">
        <references count="4">
          <reference field="4294967294" count="1" selected="0">
            <x v="1"/>
          </reference>
          <reference field="8" count="1" selected="0">
            <x v="9"/>
          </reference>
          <reference field="10" count="1" selected="0">
            <x v="2"/>
          </reference>
          <reference field="12" count="1" selected="0">
            <x v="5"/>
          </reference>
        </references>
      </pivotArea>
    </chartFormat>
    <chartFormat chart="0" format="146">
      <pivotArea type="data" outline="0" fieldPosition="0">
        <references count="4">
          <reference field="4294967294" count="1" selected="0">
            <x v="1"/>
          </reference>
          <reference field="8" count="1" selected="0">
            <x v="13"/>
          </reference>
          <reference field="10" count="1" selected="0">
            <x v="2"/>
          </reference>
          <reference field="12" count="1" selected="0">
            <x v="5"/>
          </reference>
        </references>
      </pivotArea>
    </chartFormat>
    <chartFormat chart="0" format="147">
      <pivotArea type="data" outline="0" fieldPosition="0">
        <references count="4">
          <reference field="4294967294" count="1" selected="0">
            <x v="1"/>
          </reference>
          <reference field="8" count="1" selected="0">
            <x v="15"/>
          </reference>
          <reference field="10" count="1" selected="0">
            <x v="2"/>
          </reference>
          <reference field="1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27C0F15-D623-4259-B659-40B62060A552}"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3">
  <location ref="A209:B232" firstHeaderRow="1" firstDataRow="1" firstDataCol="1"/>
  <pivotFields count="13">
    <pivotField showAll="0"/>
    <pivotField showAll="0"/>
    <pivotField showAll="0"/>
    <pivotField axis="axisRow" showAll="0">
      <items count="24">
        <item x="9"/>
        <item x="8"/>
        <item x="10"/>
        <item x="7"/>
        <item x="0"/>
        <item x="2"/>
        <item x="1"/>
        <item x="15"/>
        <item x="5"/>
        <item x="3"/>
        <item x="20"/>
        <item x="18"/>
        <item x="13"/>
        <item x="11"/>
        <item x="14"/>
        <item x="19"/>
        <item x="6"/>
        <item x="17"/>
        <item m="1" x="22"/>
        <item x="21"/>
        <item x="16"/>
        <item x="12"/>
        <item x="4"/>
        <item t="default"/>
      </items>
    </pivotField>
    <pivotField dataField="1" showAll="0"/>
    <pivotField numFmtId="165" showAll="0"/>
    <pivotField showAll="0"/>
    <pivotField showAll="0"/>
    <pivotField showAll="0"/>
    <pivotField showAll="0"/>
    <pivotField showAll="0"/>
    <pivotField showAll="0"/>
    <pivotField showAll="0"/>
  </pivotFields>
  <rowFields count="1">
    <field x="3"/>
  </rowFields>
  <rowItems count="23">
    <i>
      <x/>
    </i>
    <i>
      <x v="1"/>
    </i>
    <i>
      <x v="2"/>
    </i>
    <i>
      <x v="3"/>
    </i>
    <i>
      <x v="4"/>
    </i>
    <i>
      <x v="5"/>
    </i>
    <i>
      <x v="6"/>
    </i>
    <i>
      <x v="7"/>
    </i>
    <i>
      <x v="8"/>
    </i>
    <i>
      <x v="9"/>
    </i>
    <i>
      <x v="10"/>
    </i>
    <i>
      <x v="11"/>
    </i>
    <i>
      <x v="12"/>
    </i>
    <i>
      <x v="13"/>
    </i>
    <i>
      <x v="14"/>
    </i>
    <i>
      <x v="15"/>
    </i>
    <i>
      <x v="16"/>
    </i>
    <i>
      <x v="17"/>
    </i>
    <i>
      <x v="19"/>
    </i>
    <i>
      <x v="20"/>
    </i>
    <i>
      <x v="21"/>
    </i>
    <i>
      <x v="22"/>
    </i>
    <i t="grand">
      <x/>
    </i>
  </rowItems>
  <colItems count="1">
    <i/>
  </colItems>
  <dataFields count="1">
    <dataField name="Count of Quantity" fld="4" subtotal="count" baseField="3" baseItem="0"/>
  </dataFields>
  <chartFormats count="89">
    <chartFormat chart="0" format="0"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3" count="1" selected="0">
            <x v="0"/>
          </reference>
        </references>
      </pivotArea>
    </chartFormat>
    <chartFormat chart="0" format="3">
      <pivotArea type="data" outline="0" fieldPosition="0">
        <references count="2">
          <reference field="4294967294" count="1" selected="0">
            <x v="0"/>
          </reference>
          <reference field="3" count="1" selected="0">
            <x v="1"/>
          </reference>
        </references>
      </pivotArea>
    </chartFormat>
    <chartFormat chart="0" format="4">
      <pivotArea type="data" outline="0" fieldPosition="0">
        <references count="2">
          <reference field="4294967294" count="1" selected="0">
            <x v="0"/>
          </reference>
          <reference field="3" count="1" selected="0">
            <x v="2"/>
          </reference>
        </references>
      </pivotArea>
    </chartFormat>
    <chartFormat chart="0" format="5">
      <pivotArea type="data" outline="0" fieldPosition="0">
        <references count="2">
          <reference field="4294967294" count="1" selected="0">
            <x v="0"/>
          </reference>
          <reference field="3" count="1" selected="0">
            <x v="3"/>
          </reference>
        </references>
      </pivotArea>
    </chartFormat>
    <chartFormat chart="0" format="6">
      <pivotArea type="data" outline="0" fieldPosition="0">
        <references count="2">
          <reference field="4294967294" count="1" selected="0">
            <x v="0"/>
          </reference>
          <reference field="3" count="1" selected="0">
            <x v="4"/>
          </reference>
        </references>
      </pivotArea>
    </chartFormat>
    <chartFormat chart="0" format="7">
      <pivotArea type="data" outline="0" fieldPosition="0">
        <references count="2">
          <reference field="4294967294" count="1" selected="0">
            <x v="0"/>
          </reference>
          <reference field="3" count="1" selected="0">
            <x v="5"/>
          </reference>
        </references>
      </pivotArea>
    </chartFormat>
    <chartFormat chart="0" format="8">
      <pivotArea type="data" outline="0" fieldPosition="0">
        <references count="2">
          <reference field="4294967294" count="1" selected="0">
            <x v="0"/>
          </reference>
          <reference field="3" count="1" selected="0">
            <x v="6"/>
          </reference>
        </references>
      </pivotArea>
    </chartFormat>
    <chartFormat chart="0" format="9">
      <pivotArea type="data" outline="0" fieldPosition="0">
        <references count="2">
          <reference field="4294967294" count="1" selected="0">
            <x v="0"/>
          </reference>
          <reference field="3" count="1" selected="0">
            <x v="7"/>
          </reference>
        </references>
      </pivotArea>
    </chartFormat>
    <chartFormat chart="0" format="10">
      <pivotArea type="data" outline="0" fieldPosition="0">
        <references count="2">
          <reference field="4294967294" count="1" selected="0">
            <x v="0"/>
          </reference>
          <reference field="3" count="1" selected="0">
            <x v="8"/>
          </reference>
        </references>
      </pivotArea>
    </chartFormat>
    <chartFormat chart="0" format="11">
      <pivotArea type="data" outline="0" fieldPosition="0">
        <references count="2">
          <reference field="4294967294" count="1" selected="0">
            <x v="0"/>
          </reference>
          <reference field="3" count="1" selected="0">
            <x v="9"/>
          </reference>
        </references>
      </pivotArea>
    </chartFormat>
    <chartFormat chart="0" format="12">
      <pivotArea type="data" outline="0" fieldPosition="0">
        <references count="2">
          <reference field="4294967294" count="1" selected="0">
            <x v="0"/>
          </reference>
          <reference field="3" count="1" selected="0">
            <x v="10"/>
          </reference>
        </references>
      </pivotArea>
    </chartFormat>
    <chartFormat chart="0" format="13">
      <pivotArea type="data" outline="0" fieldPosition="0">
        <references count="2">
          <reference field="4294967294" count="1" selected="0">
            <x v="0"/>
          </reference>
          <reference field="3" count="1" selected="0">
            <x v="11"/>
          </reference>
        </references>
      </pivotArea>
    </chartFormat>
    <chartFormat chart="0" format="14">
      <pivotArea type="data" outline="0" fieldPosition="0">
        <references count="2">
          <reference field="4294967294" count="1" selected="0">
            <x v="0"/>
          </reference>
          <reference field="3" count="1" selected="0">
            <x v="12"/>
          </reference>
        </references>
      </pivotArea>
    </chartFormat>
    <chartFormat chart="0" format="15">
      <pivotArea type="data" outline="0" fieldPosition="0">
        <references count="2">
          <reference field="4294967294" count="1" selected="0">
            <x v="0"/>
          </reference>
          <reference field="3" count="1" selected="0">
            <x v="13"/>
          </reference>
        </references>
      </pivotArea>
    </chartFormat>
    <chartFormat chart="0" format="16">
      <pivotArea type="data" outline="0" fieldPosition="0">
        <references count="2">
          <reference field="4294967294" count="1" selected="0">
            <x v="0"/>
          </reference>
          <reference field="3" count="1" selected="0">
            <x v="14"/>
          </reference>
        </references>
      </pivotArea>
    </chartFormat>
    <chartFormat chart="0" format="17">
      <pivotArea type="data" outline="0" fieldPosition="0">
        <references count="2">
          <reference field="4294967294" count="1" selected="0">
            <x v="0"/>
          </reference>
          <reference field="3" count="1" selected="0">
            <x v="15"/>
          </reference>
        </references>
      </pivotArea>
    </chartFormat>
    <chartFormat chart="0" format="18">
      <pivotArea type="data" outline="0" fieldPosition="0">
        <references count="2">
          <reference field="4294967294" count="1" selected="0">
            <x v="0"/>
          </reference>
          <reference field="3" count="1" selected="0">
            <x v="16"/>
          </reference>
        </references>
      </pivotArea>
    </chartFormat>
    <chartFormat chart="0" format="19">
      <pivotArea type="data" outline="0" fieldPosition="0">
        <references count="2">
          <reference field="4294967294" count="1" selected="0">
            <x v="0"/>
          </reference>
          <reference field="3" count="1" selected="0">
            <x v="17"/>
          </reference>
        </references>
      </pivotArea>
    </chartFormat>
    <chartFormat chart="0" format="20">
      <pivotArea type="data" outline="0" fieldPosition="0">
        <references count="2">
          <reference field="4294967294" count="1" selected="0">
            <x v="0"/>
          </reference>
          <reference field="3" count="1" selected="0">
            <x v="18"/>
          </reference>
        </references>
      </pivotArea>
    </chartFormat>
    <chartFormat chart="0" format="21">
      <pivotArea type="data" outline="0" fieldPosition="0">
        <references count="2">
          <reference field="4294967294" count="1" selected="0">
            <x v="0"/>
          </reference>
          <reference field="3" count="1" selected="0">
            <x v="19"/>
          </reference>
        </references>
      </pivotArea>
    </chartFormat>
    <chartFormat chart="0" format="22">
      <pivotArea type="data" outline="0" fieldPosition="0">
        <references count="2">
          <reference field="4294967294" count="1" selected="0">
            <x v="0"/>
          </reference>
          <reference field="3" count="1" selected="0">
            <x v="20"/>
          </reference>
        </references>
      </pivotArea>
    </chartFormat>
    <chartFormat chart="0" format="23">
      <pivotArea type="data" outline="0" fieldPosition="0">
        <references count="2">
          <reference field="4294967294" count="1" selected="0">
            <x v="0"/>
          </reference>
          <reference field="3" count="1" selected="0">
            <x v="21"/>
          </reference>
        </references>
      </pivotArea>
    </chartFormat>
    <chartFormat chart="0" format="24">
      <pivotArea type="data" outline="0" fieldPosition="0">
        <references count="2">
          <reference field="4294967294" count="1" selected="0">
            <x v="0"/>
          </reference>
          <reference field="3" count="1" selected="0">
            <x v="22"/>
          </reference>
        </references>
      </pivotArea>
    </chartFormat>
    <chartFormat chart="1" format="48" series="1">
      <pivotArea type="data" outline="0" fieldPosition="0">
        <references count="1">
          <reference field="4294967294" count="1" selected="0">
            <x v="0"/>
          </reference>
        </references>
      </pivotArea>
    </chartFormat>
    <chartFormat chart="1" format="49">
      <pivotArea type="data" outline="0" fieldPosition="0">
        <references count="2">
          <reference field="4294967294" count="1" selected="0">
            <x v="0"/>
          </reference>
          <reference field="3" count="1" selected="0">
            <x v="0"/>
          </reference>
        </references>
      </pivotArea>
    </chartFormat>
    <chartFormat chart="1" format="50">
      <pivotArea type="data" outline="0" fieldPosition="0">
        <references count="2">
          <reference field="4294967294" count="1" selected="0">
            <x v="0"/>
          </reference>
          <reference field="3" count="1" selected="0">
            <x v="1"/>
          </reference>
        </references>
      </pivotArea>
    </chartFormat>
    <chartFormat chart="1" format="51">
      <pivotArea type="data" outline="0" fieldPosition="0">
        <references count="2">
          <reference field="4294967294" count="1" selected="0">
            <x v="0"/>
          </reference>
          <reference field="3" count="1" selected="0">
            <x v="2"/>
          </reference>
        </references>
      </pivotArea>
    </chartFormat>
    <chartFormat chart="1" format="52">
      <pivotArea type="data" outline="0" fieldPosition="0">
        <references count="2">
          <reference field="4294967294" count="1" selected="0">
            <x v="0"/>
          </reference>
          <reference field="3" count="1" selected="0">
            <x v="3"/>
          </reference>
        </references>
      </pivotArea>
    </chartFormat>
    <chartFormat chart="1" format="53">
      <pivotArea type="data" outline="0" fieldPosition="0">
        <references count="2">
          <reference field="4294967294" count="1" selected="0">
            <x v="0"/>
          </reference>
          <reference field="3" count="1" selected="0">
            <x v="4"/>
          </reference>
        </references>
      </pivotArea>
    </chartFormat>
    <chartFormat chart="1" format="54">
      <pivotArea type="data" outline="0" fieldPosition="0">
        <references count="2">
          <reference field="4294967294" count="1" selected="0">
            <x v="0"/>
          </reference>
          <reference field="3" count="1" selected="0">
            <x v="5"/>
          </reference>
        </references>
      </pivotArea>
    </chartFormat>
    <chartFormat chart="1" format="55">
      <pivotArea type="data" outline="0" fieldPosition="0">
        <references count="2">
          <reference field="4294967294" count="1" selected="0">
            <x v="0"/>
          </reference>
          <reference field="3" count="1" selected="0">
            <x v="6"/>
          </reference>
        </references>
      </pivotArea>
    </chartFormat>
    <chartFormat chart="1" format="56">
      <pivotArea type="data" outline="0" fieldPosition="0">
        <references count="2">
          <reference field="4294967294" count="1" selected="0">
            <x v="0"/>
          </reference>
          <reference field="3" count="1" selected="0">
            <x v="7"/>
          </reference>
        </references>
      </pivotArea>
    </chartFormat>
    <chartFormat chart="1" format="57">
      <pivotArea type="data" outline="0" fieldPosition="0">
        <references count="2">
          <reference field="4294967294" count="1" selected="0">
            <x v="0"/>
          </reference>
          <reference field="3" count="1" selected="0">
            <x v="8"/>
          </reference>
        </references>
      </pivotArea>
    </chartFormat>
    <chartFormat chart="1" format="58">
      <pivotArea type="data" outline="0" fieldPosition="0">
        <references count="2">
          <reference field="4294967294" count="1" selected="0">
            <x v="0"/>
          </reference>
          <reference field="3" count="1" selected="0">
            <x v="9"/>
          </reference>
        </references>
      </pivotArea>
    </chartFormat>
    <chartFormat chart="1" format="59">
      <pivotArea type="data" outline="0" fieldPosition="0">
        <references count="2">
          <reference field="4294967294" count="1" selected="0">
            <x v="0"/>
          </reference>
          <reference field="3" count="1" selected="0">
            <x v="10"/>
          </reference>
        </references>
      </pivotArea>
    </chartFormat>
    <chartFormat chart="1" format="60">
      <pivotArea type="data" outline="0" fieldPosition="0">
        <references count="2">
          <reference field="4294967294" count="1" selected="0">
            <x v="0"/>
          </reference>
          <reference field="3" count="1" selected="0">
            <x v="11"/>
          </reference>
        </references>
      </pivotArea>
    </chartFormat>
    <chartFormat chart="1" format="61">
      <pivotArea type="data" outline="0" fieldPosition="0">
        <references count="2">
          <reference field="4294967294" count="1" selected="0">
            <x v="0"/>
          </reference>
          <reference field="3" count="1" selected="0">
            <x v="12"/>
          </reference>
        </references>
      </pivotArea>
    </chartFormat>
    <chartFormat chart="1" format="62">
      <pivotArea type="data" outline="0" fieldPosition="0">
        <references count="2">
          <reference field="4294967294" count="1" selected="0">
            <x v="0"/>
          </reference>
          <reference field="3" count="1" selected="0">
            <x v="13"/>
          </reference>
        </references>
      </pivotArea>
    </chartFormat>
    <chartFormat chart="1" format="63">
      <pivotArea type="data" outline="0" fieldPosition="0">
        <references count="2">
          <reference field="4294967294" count="1" selected="0">
            <x v="0"/>
          </reference>
          <reference field="3" count="1" selected="0">
            <x v="14"/>
          </reference>
        </references>
      </pivotArea>
    </chartFormat>
    <chartFormat chart="1" format="64">
      <pivotArea type="data" outline="0" fieldPosition="0">
        <references count="2">
          <reference field="4294967294" count="1" selected="0">
            <x v="0"/>
          </reference>
          <reference field="3" count="1" selected="0">
            <x v="15"/>
          </reference>
        </references>
      </pivotArea>
    </chartFormat>
    <chartFormat chart="1" format="65">
      <pivotArea type="data" outline="0" fieldPosition="0">
        <references count="2">
          <reference field="4294967294" count="1" selected="0">
            <x v="0"/>
          </reference>
          <reference field="3" count="1" selected="0">
            <x v="16"/>
          </reference>
        </references>
      </pivotArea>
    </chartFormat>
    <chartFormat chart="1" format="66">
      <pivotArea type="data" outline="0" fieldPosition="0">
        <references count="2">
          <reference field="4294967294" count="1" selected="0">
            <x v="0"/>
          </reference>
          <reference field="3" count="1" selected="0">
            <x v="17"/>
          </reference>
        </references>
      </pivotArea>
    </chartFormat>
    <chartFormat chart="1" format="67">
      <pivotArea type="data" outline="0" fieldPosition="0">
        <references count="2">
          <reference field="4294967294" count="1" selected="0">
            <x v="0"/>
          </reference>
          <reference field="3" count="1" selected="0">
            <x v="18"/>
          </reference>
        </references>
      </pivotArea>
    </chartFormat>
    <chartFormat chart="1" format="68">
      <pivotArea type="data" outline="0" fieldPosition="0">
        <references count="2">
          <reference field="4294967294" count="1" selected="0">
            <x v="0"/>
          </reference>
          <reference field="3" count="1" selected="0">
            <x v="19"/>
          </reference>
        </references>
      </pivotArea>
    </chartFormat>
    <chartFormat chart="1" format="69">
      <pivotArea type="data" outline="0" fieldPosition="0">
        <references count="2">
          <reference field="4294967294" count="1" selected="0">
            <x v="0"/>
          </reference>
          <reference field="3" count="1" selected="0">
            <x v="20"/>
          </reference>
        </references>
      </pivotArea>
    </chartFormat>
    <chartFormat chart="1" format="70">
      <pivotArea type="data" outline="0" fieldPosition="0">
        <references count="2">
          <reference field="4294967294" count="1" selected="0">
            <x v="0"/>
          </reference>
          <reference field="3" count="1" selected="0">
            <x v="21"/>
          </reference>
        </references>
      </pivotArea>
    </chartFormat>
    <chartFormat chart="1" format="71">
      <pivotArea type="data" outline="0" fieldPosition="0">
        <references count="2">
          <reference field="4294967294" count="1" selected="0">
            <x v="0"/>
          </reference>
          <reference field="3" count="1" selected="0">
            <x v="22"/>
          </reference>
        </references>
      </pivotArea>
    </chartFormat>
    <chartFormat chart="2" format="96" series="1">
      <pivotArea type="data" outline="0" fieldPosition="0">
        <references count="1">
          <reference field="4294967294" count="1" selected="0">
            <x v="0"/>
          </reference>
        </references>
      </pivotArea>
    </chartFormat>
    <chartFormat chart="2" format="97">
      <pivotArea type="data" outline="0" fieldPosition="0">
        <references count="2">
          <reference field="4294967294" count="1" selected="0">
            <x v="0"/>
          </reference>
          <reference field="3" count="1" selected="0">
            <x v="0"/>
          </reference>
        </references>
      </pivotArea>
    </chartFormat>
    <chartFormat chart="2" format="98">
      <pivotArea type="data" outline="0" fieldPosition="0">
        <references count="2">
          <reference field="4294967294" count="1" selected="0">
            <x v="0"/>
          </reference>
          <reference field="3" count="1" selected="0">
            <x v="1"/>
          </reference>
        </references>
      </pivotArea>
    </chartFormat>
    <chartFormat chart="2" format="99">
      <pivotArea type="data" outline="0" fieldPosition="0">
        <references count="2">
          <reference field="4294967294" count="1" selected="0">
            <x v="0"/>
          </reference>
          <reference field="3" count="1" selected="0">
            <x v="2"/>
          </reference>
        </references>
      </pivotArea>
    </chartFormat>
    <chartFormat chart="2" format="100">
      <pivotArea type="data" outline="0" fieldPosition="0">
        <references count="2">
          <reference field="4294967294" count="1" selected="0">
            <x v="0"/>
          </reference>
          <reference field="3" count="1" selected="0">
            <x v="3"/>
          </reference>
        </references>
      </pivotArea>
    </chartFormat>
    <chartFormat chart="2" format="101">
      <pivotArea type="data" outline="0" fieldPosition="0">
        <references count="2">
          <reference field="4294967294" count="1" selected="0">
            <x v="0"/>
          </reference>
          <reference field="3" count="1" selected="0">
            <x v="4"/>
          </reference>
        </references>
      </pivotArea>
    </chartFormat>
    <chartFormat chart="2" format="102">
      <pivotArea type="data" outline="0" fieldPosition="0">
        <references count="2">
          <reference field="4294967294" count="1" selected="0">
            <x v="0"/>
          </reference>
          <reference field="3" count="1" selected="0">
            <x v="5"/>
          </reference>
        </references>
      </pivotArea>
    </chartFormat>
    <chartFormat chart="2" format="103">
      <pivotArea type="data" outline="0" fieldPosition="0">
        <references count="2">
          <reference field="4294967294" count="1" selected="0">
            <x v="0"/>
          </reference>
          <reference field="3" count="1" selected="0">
            <x v="6"/>
          </reference>
        </references>
      </pivotArea>
    </chartFormat>
    <chartFormat chart="2" format="104">
      <pivotArea type="data" outline="0" fieldPosition="0">
        <references count="2">
          <reference field="4294967294" count="1" selected="0">
            <x v="0"/>
          </reference>
          <reference field="3" count="1" selected="0">
            <x v="7"/>
          </reference>
        </references>
      </pivotArea>
    </chartFormat>
    <chartFormat chart="2" format="105">
      <pivotArea type="data" outline="0" fieldPosition="0">
        <references count="2">
          <reference field="4294967294" count="1" selected="0">
            <x v="0"/>
          </reference>
          <reference field="3" count="1" selected="0">
            <x v="8"/>
          </reference>
        </references>
      </pivotArea>
    </chartFormat>
    <chartFormat chart="2" format="106">
      <pivotArea type="data" outline="0" fieldPosition="0">
        <references count="2">
          <reference field="4294967294" count="1" selected="0">
            <x v="0"/>
          </reference>
          <reference field="3" count="1" selected="0">
            <x v="9"/>
          </reference>
        </references>
      </pivotArea>
    </chartFormat>
    <chartFormat chart="2" format="107">
      <pivotArea type="data" outline="0" fieldPosition="0">
        <references count="2">
          <reference field="4294967294" count="1" selected="0">
            <x v="0"/>
          </reference>
          <reference field="3" count="1" selected="0">
            <x v="10"/>
          </reference>
        </references>
      </pivotArea>
    </chartFormat>
    <chartFormat chart="2" format="108">
      <pivotArea type="data" outline="0" fieldPosition="0">
        <references count="2">
          <reference field="4294967294" count="1" selected="0">
            <x v="0"/>
          </reference>
          <reference field="3" count="1" selected="0">
            <x v="11"/>
          </reference>
        </references>
      </pivotArea>
    </chartFormat>
    <chartFormat chart="2" format="109">
      <pivotArea type="data" outline="0" fieldPosition="0">
        <references count="2">
          <reference field="4294967294" count="1" selected="0">
            <x v="0"/>
          </reference>
          <reference field="3" count="1" selected="0">
            <x v="12"/>
          </reference>
        </references>
      </pivotArea>
    </chartFormat>
    <chartFormat chart="2" format="110">
      <pivotArea type="data" outline="0" fieldPosition="0">
        <references count="2">
          <reference field="4294967294" count="1" selected="0">
            <x v="0"/>
          </reference>
          <reference field="3" count="1" selected="0">
            <x v="13"/>
          </reference>
        </references>
      </pivotArea>
    </chartFormat>
    <chartFormat chart="2" format="111">
      <pivotArea type="data" outline="0" fieldPosition="0">
        <references count="2">
          <reference field="4294967294" count="1" selected="0">
            <x v="0"/>
          </reference>
          <reference field="3" count="1" selected="0">
            <x v="14"/>
          </reference>
        </references>
      </pivotArea>
    </chartFormat>
    <chartFormat chart="2" format="112">
      <pivotArea type="data" outline="0" fieldPosition="0">
        <references count="2">
          <reference field="4294967294" count="1" selected="0">
            <x v="0"/>
          </reference>
          <reference field="3" count="1" selected="0">
            <x v="15"/>
          </reference>
        </references>
      </pivotArea>
    </chartFormat>
    <chartFormat chart="2" format="113">
      <pivotArea type="data" outline="0" fieldPosition="0">
        <references count="2">
          <reference field="4294967294" count="1" selected="0">
            <x v="0"/>
          </reference>
          <reference field="3" count="1" selected="0">
            <x v="16"/>
          </reference>
        </references>
      </pivotArea>
    </chartFormat>
    <chartFormat chart="2" format="114">
      <pivotArea type="data" outline="0" fieldPosition="0">
        <references count="2">
          <reference field="4294967294" count="1" selected="0">
            <x v="0"/>
          </reference>
          <reference field="3" count="1" selected="0">
            <x v="17"/>
          </reference>
        </references>
      </pivotArea>
    </chartFormat>
    <chartFormat chart="2" format="115">
      <pivotArea type="data" outline="0" fieldPosition="0">
        <references count="2">
          <reference field="4294967294" count="1" selected="0">
            <x v="0"/>
          </reference>
          <reference field="3" count="1" selected="0">
            <x v="18"/>
          </reference>
        </references>
      </pivotArea>
    </chartFormat>
    <chartFormat chart="2" format="116">
      <pivotArea type="data" outline="0" fieldPosition="0">
        <references count="2">
          <reference field="4294967294" count="1" selected="0">
            <x v="0"/>
          </reference>
          <reference field="3" count="1" selected="0">
            <x v="19"/>
          </reference>
        </references>
      </pivotArea>
    </chartFormat>
    <chartFormat chart="2" format="117">
      <pivotArea type="data" outline="0" fieldPosition="0">
        <references count="2">
          <reference field="4294967294" count="1" selected="0">
            <x v="0"/>
          </reference>
          <reference field="3" count="1" selected="0">
            <x v="20"/>
          </reference>
        </references>
      </pivotArea>
    </chartFormat>
    <chartFormat chart="2" format="118">
      <pivotArea type="data" outline="0" fieldPosition="0">
        <references count="2">
          <reference field="4294967294" count="1" selected="0">
            <x v="0"/>
          </reference>
          <reference field="3" count="1" selected="0">
            <x v="21"/>
          </reference>
        </references>
      </pivotArea>
    </chartFormat>
    <chartFormat chart="2" format="119">
      <pivotArea type="data" outline="0" fieldPosition="0">
        <references count="2">
          <reference field="4294967294" count="1" selected="0">
            <x v="0"/>
          </reference>
          <reference field="3" count="1" selected="0">
            <x v="22"/>
          </reference>
        </references>
      </pivotArea>
    </chartFormat>
    <chartFormat chart="13" format="65" series="1">
      <pivotArea type="data" outline="0" fieldPosition="0">
        <references count="1">
          <reference field="4294967294" count="1" selected="0">
            <x v="0"/>
          </reference>
        </references>
      </pivotArea>
    </chartFormat>
    <chartFormat chart="13" format="66">
      <pivotArea type="data" outline="0" fieldPosition="0">
        <references count="2">
          <reference field="4294967294" count="1" selected="0">
            <x v="0"/>
          </reference>
          <reference field="3" count="1" selected="0">
            <x v="0"/>
          </reference>
        </references>
      </pivotArea>
    </chartFormat>
    <chartFormat chart="13" format="67">
      <pivotArea type="data" outline="0" fieldPosition="0">
        <references count="2">
          <reference field="4294967294" count="1" selected="0">
            <x v="0"/>
          </reference>
          <reference field="3" count="1" selected="0">
            <x v="1"/>
          </reference>
        </references>
      </pivotArea>
    </chartFormat>
    <chartFormat chart="13" format="68">
      <pivotArea type="data" outline="0" fieldPosition="0">
        <references count="2">
          <reference field="4294967294" count="1" selected="0">
            <x v="0"/>
          </reference>
          <reference field="3" count="1" selected="0">
            <x v="2"/>
          </reference>
        </references>
      </pivotArea>
    </chartFormat>
    <chartFormat chart="13" format="69">
      <pivotArea type="data" outline="0" fieldPosition="0">
        <references count="2">
          <reference field="4294967294" count="1" selected="0">
            <x v="0"/>
          </reference>
          <reference field="3" count="1" selected="0">
            <x v="3"/>
          </reference>
        </references>
      </pivotArea>
    </chartFormat>
    <chartFormat chart="13" format="70">
      <pivotArea type="data" outline="0" fieldPosition="0">
        <references count="2">
          <reference field="4294967294" count="1" selected="0">
            <x v="0"/>
          </reference>
          <reference field="3" count="1" selected="0">
            <x v="4"/>
          </reference>
        </references>
      </pivotArea>
    </chartFormat>
    <chartFormat chart="13" format="71">
      <pivotArea type="data" outline="0" fieldPosition="0">
        <references count="2">
          <reference field="4294967294" count="1" selected="0">
            <x v="0"/>
          </reference>
          <reference field="3" count="1" selected="0">
            <x v="5"/>
          </reference>
        </references>
      </pivotArea>
    </chartFormat>
    <chartFormat chart="13" format="72">
      <pivotArea type="data" outline="0" fieldPosition="0">
        <references count="2">
          <reference field="4294967294" count="1" selected="0">
            <x v="0"/>
          </reference>
          <reference field="3" count="1" selected="0">
            <x v="6"/>
          </reference>
        </references>
      </pivotArea>
    </chartFormat>
    <chartFormat chart="13" format="73">
      <pivotArea type="data" outline="0" fieldPosition="0">
        <references count="2">
          <reference field="4294967294" count="1" selected="0">
            <x v="0"/>
          </reference>
          <reference field="3" count="1" selected="0">
            <x v="7"/>
          </reference>
        </references>
      </pivotArea>
    </chartFormat>
    <chartFormat chart="13" format="74">
      <pivotArea type="data" outline="0" fieldPosition="0">
        <references count="2">
          <reference field="4294967294" count="1" selected="0">
            <x v="0"/>
          </reference>
          <reference field="3" count="1" selected="0">
            <x v="8"/>
          </reference>
        </references>
      </pivotArea>
    </chartFormat>
    <chartFormat chart="13" format="75">
      <pivotArea type="data" outline="0" fieldPosition="0">
        <references count="2">
          <reference field="4294967294" count="1" selected="0">
            <x v="0"/>
          </reference>
          <reference field="3" count="1" selected="0">
            <x v="9"/>
          </reference>
        </references>
      </pivotArea>
    </chartFormat>
    <chartFormat chart="13" format="76">
      <pivotArea type="data" outline="0" fieldPosition="0">
        <references count="2">
          <reference field="4294967294" count="1" selected="0">
            <x v="0"/>
          </reference>
          <reference field="3" count="1" selected="0">
            <x v="10"/>
          </reference>
        </references>
      </pivotArea>
    </chartFormat>
    <chartFormat chart="13" format="77">
      <pivotArea type="data" outline="0" fieldPosition="0">
        <references count="2">
          <reference field="4294967294" count="1" selected="0">
            <x v="0"/>
          </reference>
          <reference field="3" count="1" selected="0">
            <x v="11"/>
          </reference>
        </references>
      </pivotArea>
    </chartFormat>
    <chartFormat chart="13" format="78">
      <pivotArea type="data" outline="0" fieldPosition="0">
        <references count="2">
          <reference field="4294967294" count="1" selected="0">
            <x v="0"/>
          </reference>
          <reference field="3" count="1" selected="0">
            <x v="12"/>
          </reference>
        </references>
      </pivotArea>
    </chartFormat>
    <chartFormat chart="13" format="79">
      <pivotArea type="data" outline="0" fieldPosition="0">
        <references count="2">
          <reference field="4294967294" count="1" selected="0">
            <x v="0"/>
          </reference>
          <reference field="3" count="1" selected="0">
            <x v="13"/>
          </reference>
        </references>
      </pivotArea>
    </chartFormat>
    <chartFormat chart="13" format="80">
      <pivotArea type="data" outline="0" fieldPosition="0">
        <references count="2">
          <reference field="4294967294" count="1" selected="0">
            <x v="0"/>
          </reference>
          <reference field="3" count="1" selected="0">
            <x v="14"/>
          </reference>
        </references>
      </pivotArea>
    </chartFormat>
    <chartFormat chart="3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A73343F-15AD-42BF-B2AC-8EB5BEF6A71B}" name="PivotTable18"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location ref="A3:C26" firstHeaderRow="0" firstDataRow="1" firstDataCol="1"/>
  <pivotFields count="13">
    <pivotField showAll="0"/>
    <pivotField showAll="0"/>
    <pivotField showAll="0"/>
    <pivotField axis="axisRow" showAll="0">
      <items count="24">
        <item x="9"/>
        <item x="8"/>
        <item x="10"/>
        <item x="7"/>
        <item x="0"/>
        <item x="2"/>
        <item x="1"/>
        <item x="15"/>
        <item x="5"/>
        <item x="3"/>
        <item x="20"/>
        <item x="18"/>
        <item x="13"/>
        <item x="11"/>
        <item x="14"/>
        <item x="19"/>
        <item x="6"/>
        <item x="17"/>
        <item m="1" x="22"/>
        <item x="21"/>
        <item x="16"/>
        <item x="12"/>
        <item x="4"/>
        <item t="default"/>
      </items>
    </pivotField>
    <pivotField dataField="1" showAll="0"/>
    <pivotField dataField="1" numFmtId="165" showAll="0"/>
    <pivotField showAll="0"/>
    <pivotField showAll="0"/>
    <pivotField showAll="0"/>
    <pivotField showAll="0"/>
    <pivotField showAll="0"/>
    <pivotField showAll="0"/>
    <pivotField showAll="0"/>
  </pivotFields>
  <rowFields count="1">
    <field x="3"/>
  </rowFields>
  <rowItems count="23">
    <i>
      <x/>
    </i>
    <i>
      <x v="1"/>
    </i>
    <i>
      <x v="2"/>
    </i>
    <i>
      <x v="3"/>
    </i>
    <i>
      <x v="4"/>
    </i>
    <i>
      <x v="5"/>
    </i>
    <i>
      <x v="6"/>
    </i>
    <i>
      <x v="7"/>
    </i>
    <i>
      <x v="8"/>
    </i>
    <i>
      <x v="9"/>
    </i>
    <i>
      <x v="10"/>
    </i>
    <i>
      <x v="11"/>
    </i>
    <i>
      <x v="12"/>
    </i>
    <i>
      <x v="13"/>
    </i>
    <i>
      <x v="14"/>
    </i>
    <i>
      <x v="15"/>
    </i>
    <i>
      <x v="16"/>
    </i>
    <i>
      <x v="17"/>
    </i>
    <i>
      <x v="19"/>
    </i>
    <i>
      <x v="20"/>
    </i>
    <i>
      <x v="21"/>
    </i>
    <i>
      <x v="22"/>
    </i>
    <i t="grand">
      <x/>
    </i>
  </rowItems>
  <colFields count="1">
    <field x="-2"/>
  </colFields>
  <colItems count="2">
    <i>
      <x/>
    </i>
    <i i="1">
      <x v="1"/>
    </i>
  </colItems>
  <dataFields count="2">
    <dataField name="Count of Quantity" fld="4" subtotal="count" baseField="3" baseItem="0"/>
    <dataField name="Sum of Total amount" fld="5" baseField="0" baseItem="0" numFmtId="165"/>
  </dataFields>
  <chartFormats count="161">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3" count="1" selected="0">
            <x v="0"/>
          </reference>
        </references>
      </pivotArea>
    </chartFormat>
    <chartFormat chart="0" format="3">
      <pivotArea type="data" outline="0" fieldPosition="0">
        <references count="2">
          <reference field="4294967294" count="1" selected="0">
            <x v="0"/>
          </reference>
          <reference field="3" count="1" selected="0">
            <x v="1"/>
          </reference>
        </references>
      </pivotArea>
    </chartFormat>
    <chartFormat chart="0" format="4">
      <pivotArea type="data" outline="0" fieldPosition="0">
        <references count="2">
          <reference field="4294967294" count="1" selected="0">
            <x v="0"/>
          </reference>
          <reference field="3" count="1" selected="0">
            <x v="2"/>
          </reference>
        </references>
      </pivotArea>
    </chartFormat>
    <chartFormat chart="0" format="5">
      <pivotArea type="data" outline="0" fieldPosition="0">
        <references count="2">
          <reference field="4294967294" count="1" selected="0">
            <x v="0"/>
          </reference>
          <reference field="3" count="1" selected="0">
            <x v="3"/>
          </reference>
        </references>
      </pivotArea>
    </chartFormat>
    <chartFormat chart="0" format="6">
      <pivotArea type="data" outline="0" fieldPosition="0">
        <references count="2">
          <reference field="4294967294" count="1" selected="0">
            <x v="0"/>
          </reference>
          <reference field="3" count="1" selected="0">
            <x v="4"/>
          </reference>
        </references>
      </pivotArea>
    </chartFormat>
    <chartFormat chart="0" format="7">
      <pivotArea type="data" outline="0" fieldPosition="0">
        <references count="2">
          <reference field="4294967294" count="1" selected="0">
            <x v="0"/>
          </reference>
          <reference field="3" count="1" selected="0">
            <x v="5"/>
          </reference>
        </references>
      </pivotArea>
    </chartFormat>
    <chartFormat chart="0" format="8">
      <pivotArea type="data" outline="0" fieldPosition="0">
        <references count="2">
          <reference field="4294967294" count="1" selected="0">
            <x v="0"/>
          </reference>
          <reference field="3" count="1" selected="0">
            <x v="6"/>
          </reference>
        </references>
      </pivotArea>
    </chartFormat>
    <chartFormat chart="0" format="9">
      <pivotArea type="data" outline="0" fieldPosition="0">
        <references count="2">
          <reference field="4294967294" count="1" selected="0">
            <x v="0"/>
          </reference>
          <reference field="3" count="1" selected="0">
            <x v="7"/>
          </reference>
        </references>
      </pivotArea>
    </chartFormat>
    <chartFormat chart="0" format="10">
      <pivotArea type="data" outline="0" fieldPosition="0">
        <references count="2">
          <reference field="4294967294" count="1" selected="0">
            <x v="0"/>
          </reference>
          <reference field="3" count="1" selected="0">
            <x v="8"/>
          </reference>
        </references>
      </pivotArea>
    </chartFormat>
    <chartFormat chart="0" format="11">
      <pivotArea type="data" outline="0" fieldPosition="0">
        <references count="2">
          <reference field="4294967294" count="1" selected="0">
            <x v="0"/>
          </reference>
          <reference field="3" count="1" selected="0">
            <x v="9"/>
          </reference>
        </references>
      </pivotArea>
    </chartFormat>
    <chartFormat chart="0" format="12">
      <pivotArea type="data" outline="0" fieldPosition="0">
        <references count="2">
          <reference field="4294967294" count="1" selected="0">
            <x v="0"/>
          </reference>
          <reference field="3" count="1" selected="0">
            <x v="10"/>
          </reference>
        </references>
      </pivotArea>
    </chartFormat>
    <chartFormat chart="0" format="13">
      <pivotArea type="data" outline="0" fieldPosition="0">
        <references count="2">
          <reference field="4294967294" count="1" selected="0">
            <x v="0"/>
          </reference>
          <reference field="3" count="1" selected="0">
            <x v="11"/>
          </reference>
        </references>
      </pivotArea>
    </chartFormat>
    <chartFormat chart="0" format="14">
      <pivotArea type="data" outline="0" fieldPosition="0">
        <references count="2">
          <reference field="4294967294" count="1" selected="0">
            <x v="0"/>
          </reference>
          <reference field="3" count="1" selected="0">
            <x v="12"/>
          </reference>
        </references>
      </pivotArea>
    </chartFormat>
    <chartFormat chart="0" format="15">
      <pivotArea type="data" outline="0" fieldPosition="0">
        <references count="2">
          <reference field="4294967294" count="1" selected="0">
            <x v="0"/>
          </reference>
          <reference field="3" count="1" selected="0">
            <x v="13"/>
          </reference>
        </references>
      </pivotArea>
    </chartFormat>
    <chartFormat chart="0" format="16">
      <pivotArea type="data" outline="0" fieldPosition="0">
        <references count="2">
          <reference field="4294967294" count="1" selected="0">
            <x v="0"/>
          </reference>
          <reference field="3" count="1" selected="0">
            <x v="14"/>
          </reference>
        </references>
      </pivotArea>
    </chartFormat>
    <chartFormat chart="0" format="17">
      <pivotArea type="data" outline="0" fieldPosition="0">
        <references count="2">
          <reference field="4294967294" count="1" selected="0">
            <x v="0"/>
          </reference>
          <reference field="3" count="1" selected="0">
            <x v="15"/>
          </reference>
        </references>
      </pivotArea>
    </chartFormat>
    <chartFormat chart="0" format="18">
      <pivotArea type="data" outline="0" fieldPosition="0">
        <references count="2">
          <reference field="4294967294" count="1" selected="0">
            <x v="0"/>
          </reference>
          <reference field="3" count="1" selected="0">
            <x v="16"/>
          </reference>
        </references>
      </pivotArea>
    </chartFormat>
    <chartFormat chart="0" format="19">
      <pivotArea type="data" outline="0" fieldPosition="0">
        <references count="2">
          <reference field="4294967294" count="1" selected="0">
            <x v="0"/>
          </reference>
          <reference field="3" count="1" selected="0">
            <x v="17"/>
          </reference>
        </references>
      </pivotArea>
    </chartFormat>
    <chartFormat chart="0" format="20">
      <pivotArea type="data" outline="0" fieldPosition="0">
        <references count="2">
          <reference field="4294967294" count="1" selected="0">
            <x v="0"/>
          </reference>
          <reference field="3" count="1" selected="0">
            <x v="18"/>
          </reference>
        </references>
      </pivotArea>
    </chartFormat>
    <chartFormat chart="0" format="21">
      <pivotArea type="data" outline="0" fieldPosition="0">
        <references count="2">
          <reference field="4294967294" count="1" selected="0">
            <x v="0"/>
          </reference>
          <reference field="3" count="1" selected="0">
            <x v="19"/>
          </reference>
        </references>
      </pivotArea>
    </chartFormat>
    <chartFormat chart="0" format="22">
      <pivotArea type="data" outline="0" fieldPosition="0">
        <references count="2">
          <reference field="4294967294" count="1" selected="0">
            <x v="0"/>
          </reference>
          <reference field="3" count="1" selected="0">
            <x v="20"/>
          </reference>
        </references>
      </pivotArea>
    </chartFormat>
    <chartFormat chart="0" format="23">
      <pivotArea type="data" outline="0" fieldPosition="0">
        <references count="2">
          <reference field="4294967294" count="1" selected="0">
            <x v="0"/>
          </reference>
          <reference field="3" count="1" selected="0">
            <x v="21"/>
          </reference>
        </references>
      </pivotArea>
    </chartFormat>
    <chartFormat chart="0" format="24">
      <pivotArea type="data" outline="0" fieldPosition="0">
        <references count="2">
          <reference field="4294967294" count="1" selected="0">
            <x v="0"/>
          </reference>
          <reference field="3" count="1" selected="0">
            <x v="22"/>
          </reference>
        </references>
      </pivotArea>
    </chartFormat>
    <chartFormat chart="0" format="25">
      <pivotArea type="data" outline="0" fieldPosition="0">
        <references count="2">
          <reference field="4294967294" count="1" selected="0">
            <x v="1"/>
          </reference>
          <reference field="3" count="1" selected="0">
            <x v="0"/>
          </reference>
        </references>
      </pivotArea>
    </chartFormat>
    <chartFormat chart="0" format="26">
      <pivotArea type="data" outline="0" fieldPosition="0">
        <references count="2">
          <reference field="4294967294" count="1" selected="0">
            <x v="1"/>
          </reference>
          <reference field="3" count="1" selected="0">
            <x v="1"/>
          </reference>
        </references>
      </pivotArea>
    </chartFormat>
    <chartFormat chart="0" format="27">
      <pivotArea type="data" outline="0" fieldPosition="0">
        <references count="2">
          <reference field="4294967294" count="1" selected="0">
            <x v="1"/>
          </reference>
          <reference field="3" count="1" selected="0">
            <x v="2"/>
          </reference>
        </references>
      </pivotArea>
    </chartFormat>
    <chartFormat chart="0" format="28">
      <pivotArea type="data" outline="0" fieldPosition="0">
        <references count="2">
          <reference field="4294967294" count="1" selected="0">
            <x v="1"/>
          </reference>
          <reference field="3" count="1" selected="0">
            <x v="3"/>
          </reference>
        </references>
      </pivotArea>
    </chartFormat>
    <chartFormat chart="0" format="29">
      <pivotArea type="data" outline="0" fieldPosition="0">
        <references count="2">
          <reference field="4294967294" count="1" selected="0">
            <x v="1"/>
          </reference>
          <reference field="3" count="1" selected="0">
            <x v="4"/>
          </reference>
        </references>
      </pivotArea>
    </chartFormat>
    <chartFormat chart="0" format="30">
      <pivotArea type="data" outline="0" fieldPosition="0">
        <references count="2">
          <reference field="4294967294" count="1" selected="0">
            <x v="1"/>
          </reference>
          <reference field="3" count="1" selected="0">
            <x v="5"/>
          </reference>
        </references>
      </pivotArea>
    </chartFormat>
    <chartFormat chart="0" format="31">
      <pivotArea type="data" outline="0" fieldPosition="0">
        <references count="2">
          <reference field="4294967294" count="1" selected="0">
            <x v="1"/>
          </reference>
          <reference field="3" count="1" selected="0">
            <x v="6"/>
          </reference>
        </references>
      </pivotArea>
    </chartFormat>
    <chartFormat chart="0" format="32">
      <pivotArea type="data" outline="0" fieldPosition="0">
        <references count="2">
          <reference field="4294967294" count="1" selected="0">
            <x v="1"/>
          </reference>
          <reference field="3" count="1" selected="0">
            <x v="7"/>
          </reference>
        </references>
      </pivotArea>
    </chartFormat>
    <chartFormat chart="0" format="33">
      <pivotArea type="data" outline="0" fieldPosition="0">
        <references count="2">
          <reference field="4294967294" count="1" selected="0">
            <x v="1"/>
          </reference>
          <reference field="3" count="1" selected="0">
            <x v="8"/>
          </reference>
        </references>
      </pivotArea>
    </chartFormat>
    <chartFormat chart="0" format="34">
      <pivotArea type="data" outline="0" fieldPosition="0">
        <references count="2">
          <reference field="4294967294" count="1" selected="0">
            <x v="1"/>
          </reference>
          <reference field="3" count="1" selected="0">
            <x v="9"/>
          </reference>
        </references>
      </pivotArea>
    </chartFormat>
    <chartFormat chart="0" format="35">
      <pivotArea type="data" outline="0" fieldPosition="0">
        <references count="2">
          <reference field="4294967294" count="1" selected="0">
            <x v="1"/>
          </reference>
          <reference field="3" count="1" selected="0">
            <x v="10"/>
          </reference>
        </references>
      </pivotArea>
    </chartFormat>
    <chartFormat chart="0" format="36">
      <pivotArea type="data" outline="0" fieldPosition="0">
        <references count="2">
          <reference field="4294967294" count="1" selected="0">
            <x v="1"/>
          </reference>
          <reference field="3" count="1" selected="0">
            <x v="11"/>
          </reference>
        </references>
      </pivotArea>
    </chartFormat>
    <chartFormat chart="0" format="37">
      <pivotArea type="data" outline="0" fieldPosition="0">
        <references count="2">
          <reference field="4294967294" count="1" selected="0">
            <x v="1"/>
          </reference>
          <reference field="3" count="1" selected="0">
            <x v="12"/>
          </reference>
        </references>
      </pivotArea>
    </chartFormat>
    <chartFormat chart="0" format="38">
      <pivotArea type="data" outline="0" fieldPosition="0">
        <references count="2">
          <reference field="4294967294" count="1" selected="0">
            <x v="1"/>
          </reference>
          <reference field="3" count="1" selected="0">
            <x v="13"/>
          </reference>
        </references>
      </pivotArea>
    </chartFormat>
    <chartFormat chart="0" format="39">
      <pivotArea type="data" outline="0" fieldPosition="0">
        <references count="2">
          <reference field="4294967294" count="1" selected="0">
            <x v="1"/>
          </reference>
          <reference field="3" count="1" selected="0">
            <x v="14"/>
          </reference>
        </references>
      </pivotArea>
    </chartFormat>
    <chartFormat chart="0" format="40">
      <pivotArea type="data" outline="0" fieldPosition="0">
        <references count="2">
          <reference field="4294967294" count="1" selected="0">
            <x v="1"/>
          </reference>
          <reference field="3" count="1" selected="0">
            <x v="15"/>
          </reference>
        </references>
      </pivotArea>
    </chartFormat>
    <chartFormat chart="0" format="41">
      <pivotArea type="data" outline="0" fieldPosition="0">
        <references count="2">
          <reference field="4294967294" count="1" selected="0">
            <x v="1"/>
          </reference>
          <reference field="3" count="1" selected="0">
            <x v="16"/>
          </reference>
        </references>
      </pivotArea>
    </chartFormat>
    <chartFormat chart="0" format="42">
      <pivotArea type="data" outline="0" fieldPosition="0">
        <references count="2">
          <reference field="4294967294" count="1" selected="0">
            <x v="1"/>
          </reference>
          <reference field="3" count="1" selected="0">
            <x v="17"/>
          </reference>
        </references>
      </pivotArea>
    </chartFormat>
    <chartFormat chart="0" format="43">
      <pivotArea type="data" outline="0" fieldPosition="0">
        <references count="2">
          <reference field="4294967294" count="1" selected="0">
            <x v="1"/>
          </reference>
          <reference field="3" count="1" selected="0">
            <x v="18"/>
          </reference>
        </references>
      </pivotArea>
    </chartFormat>
    <chartFormat chart="0" format="44">
      <pivotArea type="data" outline="0" fieldPosition="0">
        <references count="2">
          <reference field="4294967294" count="1" selected="0">
            <x v="1"/>
          </reference>
          <reference field="3" count="1" selected="0">
            <x v="19"/>
          </reference>
        </references>
      </pivotArea>
    </chartFormat>
    <chartFormat chart="0" format="45">
      <pivotArea type="data" outline="0" fieldPosition="0">
        <references count="2">
          <reference field="4294967294" count="1" selected="0">
            <x v="1"/>
          </reference>
          <reference field="3" count="1" selected="0">
            <x v="20"/>
          </reference>
        </references>
      </pivotArea>
    </chartFormat>
    <chartFormat chart="0" format="46">
      <pivotArea type="data" outline="0" fieldPosition="0">
        <references count="2">
          <reference field="4294967294" count="1" selected="0">
            <x v="1"/>
          </reference>
          <reference field="3" count="1" selected="0">
            <x v="21"/>
          </reference>
        </references>
      </pivotArea>
    </chartFormat>
    <chartFormat chart="0" format="47">
      <pivotArea type="data" outline="0" fieldPosition="0">
        <references count="2">
          <reference field="4294967294" count="1" selected="0">
            <x v="1"/>
          </reference>
          <reference field="3" count="1" selected="0">
            <x v="22"/>
          </reference>
        </references>
      </pivotArea>
    </chartFormat>
    <chartFormat chart="1" format="48" series="1">
      <pivotArea type="data" outline="0" fieldPosition="0">
        <references count="1">
          <reference field="4294967294" count="1" selected="0">
            <x v="0"/>
          </reference>
        </references>
      </pivotArea>
    </chartFormat>
    <chartFormat chart="1" format="49">
      <pivotArea type="data" outline="0" fieldPosition="0">
        <references count="2">
          <reference field="4294967294" count="1" selected="0">
            <x v="0"/>
          </reference>
          <reference field="3" count="1" selected="0">
            <x v="0"/>
          </reference>
        </references>
      </pivotArea>
    </chartFormat>
    <chartFormat chart="1" format="50">
      <pivotArea type="data" outline="0" fieldPosition="0">
        <references count="2">
          <reference field="4294967294" count="1" selected="0">
            <x v="0"/>
          </reference>
          <reference field="3" count="1" selected="0">
            <x v="1"/>
          </reference>
        </references>
      </pivotArea>
    </chartFormat>
    <chartFormat chart="1" format="51">
      <pivotArea type="data" outline="0" fieldPosition="0">
        <references count="2">
          <reference field="4294967294" count="1" selected="0">
            <x v="0"/>
          </reference>
          <reference field="3" count="1" selected="0">
            <x v="2"/>
          </reference>
        </references>
      </pivotArea>
    </chartFormat>
    <chartFormat chart="1" format="52">
      <pivotArea type="data" outline="0" fieldPosition="0">
        <references count="2">
          <reference field="4294967294" count="1" selected="0">
            <x v="0"/>
          </reference>
          <reference field="3" count="1" selected="0">
            <x v="3"/>
          </reference>
        </references>
      </pivotArea>
    </chartFormat>
    <chartFormat chart="1" format="53">
      <pivotArea type="data" outline="0" fieldPosition="0">
        <references count="2">
          <reference field="4294967294" count="1" selected="0">
            <x v="0"/>
          </reference>
          <reference field="3" count="1" selected="0">
            <x v="4"/>
          </reference>
        </references>
      </pivotArea>
    </chartFormat>
    <chartFormat chart="1" format="54">
      <pivotArea type="data" outline="0" fieldPosition="0">
        <references count="2">
          <reference field="4294967294" count="1" selected="0">
            <x v="0"/>
          </reference>
          <reference field="3" count="1" selected="0">
            <x v="5"/>
          </reference>
        </references>
      </pivotArea>
    </chartFormat>
    <chartFormat chart="1" format="55">
      <pivotArea type="data" outline="0" fieldPosition="0">
        <references count="2">
          <reference field="4294967294" count="1" selected="0">
            <x v="0"/>
          </reference>
          <reference field="3" count="1" selected="0">
            <x v="6"/>
          </reference>
        </references>
      </pivotArea>
    </chartFormat>
    <chartFormat chart="1" format="56">
      <pivotArea type="data" outline="0" fieldPosition="0">
        <references count="2">
          <reference field="4294967294" count="1" selected="0">
            <x v="0"/>
          </reference>
          <reference field="3" count="1" selected="0">
            <x v="7"/>
          </reference>
        </references>
      </pivotArea>
    </chartFormat>
    <chartFormat chart="1" format="57">
      <pivotArea type="data" outline="0" fieldPosition="0">
        <references count="2">
          <reference field="4294967294" count="1" selected="0">
            <x v="0"/>
          </reference>
          <reference field="3" count="1" selected="0">
            <x v="8"/>
          </reference>
        </references>
      </pivotArea>
    </chartFormat>
    <chartFormat chart="1" format="58">
      <pivotArea type="data" outline="0" fieldPosition="0">
        <references count="2">
          <reference field="4294967294" count="1" selected="0">
            <x v="0"/>
          </reference>
          <reference field="3" count="1" selected="0">
            <x v="9"/>
          </reference>
        </references>
      </pivotArea>
    </chartFormat>
    <chartFormat chart="1" format="59">
      <pivotArea type="data" outline="0" fieldPosition="0">
        <references count="2">
          <reference field="4294967294" count="1" selected="0">
            <x v="0"/>
          </reference>
          <reference field="3" count="1" selected="0">
            <x v="10"/>
          </reference>
        </references>
      </pivotArea>
    </chartFormat>
    <chartFormat chart="1" format="60">
      <pivotArea type="data" outline="0" fieldPosition="0">
        <references count="2">
          <reference field="4294967294" count="1" selected="0">
            <x v="0"/>
          </reference>
          <reference field="3" count="1" selected="0">
            <x v="11"/>
          </reference>
        </references>
      </pivotArea>
    </chartFormat>
    <chartFormat chart="1" format="61">
      <pivotArea type="data" outline="0" fieldPosition="0">
        <references count="2">
          <reference field="4294967294" count="1" selected="0">
            <x v="0"/>
          </reference>
          <reference field="3" count="1" selected="0">
            <x v="12"/>
          </reference>
        </references>
      </pivotArea>
    </chartFormat>
    <chartFormat chart="1" format="62">
      <pivotArea type="data" outline="0" fieldPosition="0">
        <references count="2">
          <reference field="4294967294" count="1" selected="0">
            <x v="0"/>
          </reference>
          <reference field="3" count="1" selected="0">
            <x v="13"/>
          </reference>
        </references>
      </pivotArea>
    </chartFormat>
    <chartFormat chart="1" format="63">
      <pivotArea type="data" outline="0" fieldPosition="0">
        <references count="2">
          <reference field="4294967294" count="1" selected="0">
            <x v="0"/>
          </reference>
          <reference field="3" count="1" selected="0">
            <x v="14"/>
          </reference>
        </references>
      </pivotArea>
    </chartFormat>
    <chartFormat chart="1" format="64">
      <pivotArea type="data" outline="0" fieldPosition="0">
        <references count="2">
          <reference field="4294967294" count="1" selected="0">
            <x v="0"/>
          </reference>
          <reference field="3" count="1" selected="0">
            <x v="15"/>
          </reference>
        </references>
      </pivotArea>
    </chartFormat>
    <chartFormat chart="1" format="65">
      <pivotArea type="data" outline="0" fieldPosition="0">
        <references count="2">
          <reference field="4294967294" count="1" selected="0">
            <x v="0"/>
          </reference>
          <reference field="3" count="1" selected="0">
            <x v="16"/>
          </reference>
        </references>
      </pivotArea>
    </chartFormat>
    <chartFormat chart="1" format="66">
      <pivotArea type="data" outline="0" fieldPosition="0">
        <references count="2">
          <reference field="4294967294" count="1" selected="0">
            <x v="0"/>
          </reference>
          <reference field="3" count="1" selected="0">
            <x v="17"/>
          </reference>
        </references>
      </pivotArea>
    </chartFormat>
    <chartFormat chart="1" format="67">
      <pivotArea type="data" outline="0" fieldPosition="0">
        <references count="2">
          <reference field="4294967294" count="1" selected="0">
            <x v="0"/>
          </reference>
          <reference field="3" count="1" selected="0">
            <x v="18"/>
          </reference>
        </references>
      </pivotArea>
    </chartFormat>
    <chartFormat chart="1" format="68">
      <pivotArea type="data" outline="0" fieldPosition="0">
        <references count="2">
          <reference field="4294967294" count="1" selected="0">
            <x v="0"/>
          </reference>
          <reference field="3" count="1" selected="0">
            <x v="19"/>
          </reference>
        </references>
      </pivotArea>
    </chartFormat>
    <chartFormat chart="1" format="69">
      <pivotArea type="data" outline="0" fieldPosition="0">
        <references count="2">
          <reference field="4294967294" count="1" selected="0">
            <x v="0"/>
          </reference>
          <reference field="3" count="1" selected="0">
            <x v="20"/>
          </reference>
        </references>
      </pivotArea>
    </chartFormat>
    <chartFormat chart="1" format="70">
      <pivotArea type="data" outline="0" fieldPosition="0">
        <references count="2">
          <reference field="4294967294" count="1" selected="0">
            <x v="0"/>
          </reference>
          <reference field="3" count="1" selected="0">
            <x v="21"/>
          </reference>
        </references>
      </pivotArea>
    </chartFormat>
    <chartFormat chart="1" format="71">
      <pivotArea type="data" outline="0" fieldPosition="0">
        <references count="2">
          <reference field="4294967294" count="1" selected="0">
            <x v="0"/>
          </reference>
          <reference field="3" count="1" selected="0">
            <x v="22"/>
          </reference>
        </references>
      </pivotArea>
    </chartFormat>
    <chartFormat chart="1" format="72" series="1">
      <pivotArea type="data" outline="0" fieldPosition="0">
        <references count="1">
          <reference field="4294967294" count="1" selected="0">
            <x v="1"/>
          </reference>
        </references>
      </pivotArea>
    </chartFormat>
    <chartFormat chart="1" format="73">
      <pivotArea type="data" outline="0" fieldPosition="0">
        <references count="2">
          <reference field="4294967294" count="1" selected="0">
            <x v="1"/>
          </reference>
          <reference field="3" count="1" selected="0">
            <x v="0"/>
          </reference>
        </references>
      </pivotArea>
    </chartFormat>
    <chartFormat chart="1" format="74">
      <pivotArea type="data" outline="0" fieldPosition="0">
        <references count="2">
          <reference field="4294967294" count="1" selected="0">
            <x v="1"/>
          </reference>
          <reference field="3" count="1" selected="0">
            <x v="1"/>
          </reference>
        </references>
      </pivotArea>
    </chartFormat>
    <chartFormat chart="1" format="75">
      <pivotArea type="data" outline="0" fieldPosition="0">
        <references count="2">
          <reference field="4294967294" count="1" selected="0">
            <x v="1"/>
          </reference>
          <reference field="3" count="1" selected="0">
            <x v="2"/>
          </reference>
        </references>
      </pivotArea>
    </chartFormat>
    <chartFormat chart="1" format="76">
      <pivotArea type="data" outline="0" fieldPosition="0">
        <references count="2">
          <reference field="4294967294" count="1" selected="0">
            <x v="1"/>
          </reference>
          <reference field="3" count="1" selected="0">
            <x v="3"/>
          </reference>
        </references>
      </pivotArea>
    </chartFormat>
    <chartFormat chart="1" format="77">
      <pivotArea type="data" outline="0" fieldPosition="0">
        <references count="2">
          <reference field="4294967294" count="1" selected="0">
            <x v="1"/>
          </reference>
          <reference field="3" count="1" selected="0">
            <x v="4"/>
          </reference>
        </references>
      </pivotArea>
    </chartFormat>
    <chartFormat chart="1" format="78">
      <pivotArea type="data" outline="0" fieldPosition="0">
        <references count="2">
          <reference field="4294967294" count="1" selected="0">
            <x v="1"/>
          </reference>
          <reference field="3" count="1" selected="0">
            <x v="5"/>
          </reference>
        </references>
      </pivotArea>
    </chartFormat>
    <chartFormat chart="1" format="79">
      <pivotArea type="data" outline="0" fieldPosition="0">
        <references count="2">
          <reference field="4294967294" count="1" selected="0">
            <x v="1"/>
          </reference>
          <reference field="3" count="1" selected="0">
            <x v="6"/>
          </reference>
        </references>
      </pivotArea>
    </chartFormat>
    <chartFormat chart="1" format="80">
      <pivotArea type="data" outline="0" fieldPosition="0">
        <references count="2">
          <reference field="4294967294" count="1" selected="0">
            <x v="1"/>
          </reference>
          <reference field="3" count="1" selected="0">
            <x v="7"/>
          </reference>
        </references>
      </pivotArea>
    </chartFormat>
    <chartFormat chart="1" format="81">
      <pivotArea type="data" outline="0" fieldPosition="0">
        <references count="2">
          <reference field="4294967294" count="1" selected="0">
            <x v="1"/>
          </reference>
          <reference field="3" count="1" selected="0">
            <x v="8"/>
          </reference>
        </references>
      </pivotArea>
    </chartFormat>
    <chartFormat chart="1" format="82">
      <pivotArea type="data" outline="0" fieldPosition="0">
        <references count="2">
          <reference field="4294967294" count="1" selected="0">
            <x v="1"/>
          </reference>
          <reference field="3" count="1" selected="0">
            <x v="9"/>
          </reference>
        </references>
      </pivotArea>
    </chartFormat>
    <chartFormat chart="1" format="83">
      <pivotArea type="data" outline="0" fieldPosition="0">
        <references count="2">
          <reference field="4294967294" count="1" selected="0">
            <x v="1"/>
          </reference>
          <reference field="3" count="1" selected="0">
            <x v="10"/>
          </reference>
        </references>
      </pivotArea>
    </chartFormat>
    <chartFormat chart="1" format="84">
      <pivotArea type="data" outline="0" fieldPosition="0">
        <references count="2">
          <reference field="4294967294" count="1" selected="0">
            <x v="1"/>
          </reference>
          <reference field="3" count="1" selected="0">
            <x v="11"/>
          </reference>
        </references>
      </pivotArea>
    </chartFormat>
    <chartFormat chart="1" format="85">
      <pivotArea type="data" outline="0" fieldPosition="0">
        <references count="2">
          <reference field="4294967294" count="1" selected="0">
            <x v="1"/>
          </reference>
          <reference field="3" count="1" selected="0">
            <x v="12"/>
          </reference>
        </references>
      </pivotArea>
    </chartFormat>
    <chartFormat chart="1" format="86">
      <pivotArea type="data" outline="0" fieldPosition="0">
        <references count="2">
          <reference field="4294967294" count="1" selected="0">
            <x v="1"/>
          </reference>
          <reference field="3" count="1" selected="0">
            <x v="13"/>
          </reference>
        </references>
      </pivotArea>
    </chartFormat>
    <chartFormat chart="1" format="87">
      <pivotArea type="data" outline="0" fieldPosition="0">
        <references count="2">
          <reference field="4294967294" count="1" selected="0">
            <x v="1"/>
          </reference>
          <reference field="3" count="1" selected="0">
            <x v="14"/>
          </reference>
        </references>
      </pivotArea>
    </chartFormat>
    <chartFormat chart="1" format="88">
      <pivotArea type="data" outline="0" fieldPosition="0">
        <references count="2">
          <reference field="4294967294" count="1" selected="0">
            <x v="1"/>
          </reference>
          <reference field="3" count="1" selected="0">
            <x v="15"/>
          </reference>
        </references>
      </pivotArea>
    </chartFormat>
    <chartFormat chart="1" format="89">
      <pivotArea type="data" outline="0" fieldPosition="0">
        <references count="2">
          <reference field="4294967294" count="1" selected="0">
            <x v="1"/>
          </reference>
          <reference field="3" count="1" selected="0">
            <x v="16"/>
          </reference>
        </references>
      </pivotArea>
    </chartFormat>
    <chartFormat chart="1" format="90">
      <pivotArea type="data" outline="0" fieldPosition="0">
        <references count="2">
          <reference field="4294967294" count="1" selected="0">
            <x v="1"/>
          </reference>
          <reference field="3" count="1" selected="0">
            <x v="17"/>
          </reference>
        </references>
      </pivotArea>
    </chartFormat>
    <chartFormat chart="1" format="91">
      <pivotArea type="data" outline="0" fieldPosition="0">
        <references count="2">
          <reference field="4294967294" count="1" selected="0">
            <x v="1"/>
          </reference>
          <reference field="3" count="1" selected="0">
            <x v="18"/>
          </reference>
        </references>
      </pivotArea>
    </chartFormat>
    <chartFormat chart="1" format="92">
      <pivotArea type="data" outline="0" fieldPosition="0">
        <references count="2">
          <reference field="4294967294" count="1" selected="0">
            <x v="1"/>
          </reference>
          <reference field="3" count="1" selected="0">
            <x v="19"/>
          </reference>
        </references>
      </pivotArea>
    </chartFormat>
    <chartFormat chart="1" format="93">
      <pivotArea type="data" outline="0" fieldPosition="0">
        <references count="2">
          <reference field="4294967294" count="1" selected="0">
            <x v="1"/>
          </reference>
          <reference field="3" count="1" selected="0">
            <x v="20"/>
          </reference>
        </references>
      </pivotArea>
    </chartFormat>
    <chartFormat chart="1" format="94">
      <pivotArea type="data" outline="0" fieldPosition="0">
        <references count="2">
          <reference field="4294967294" count="1" selected="0">
            <x v="1"/>
          </reference>
          <reference field="3" count="1" selected="0">
            <x v="21"/>
          </reference>
        </references>
      </pivotArea>
    </chartFormat>
    <chartFormat chart="1" format="95">
      <pivotArea type="data" outline="0" fieldPosition="0">
        <references count="2">
          <reference field="4294967294" count="1" selected="0">
            <x v="1"/>
          </reference>
          <reference field="3" count="1" selected="0">
            <x v="22"/>
          </reference>
        </references>
      </pivotArea>
    </chartFormat>
    <chartFormat chart="2" format="96" series="1">
      <pivotArea type="data" outline="0" fieldPosition="0">
        <references count="1">
          <reference field="4294967294" count="1" selected="0">
            <x v="0"/>
          </reference>
        </references>
      </pivotArea>
    </chartFormat>
    <chartFormat chart="2" format="97">
      <pivotArea type="data" outline="0" fieldPosition="0">
        <references count="2">
          <reference field="4294967294" count="1" selected="0">
            <x v="0"/>
          </reference>
          <reference field="3" count="1" selected="0">
            <x v="0"/>
          </reference>
        </references>
      </pivotArea>
    </chartFormat>
    <chartFormat chart="2" format="98">
      <pivotArea type="data" outline="0" fieldPosition="0">
        <references count="2">
          <reference field="4294967294" count="1" selected="0">
            <x v="0"/>
          </reference>
          <reference field="3" count="1" selected="0">
            <x v="1"/>
          </reference>
        </references>
      </pivotArea>
    </chartFormat>
    <chartFormat chart="2" format="99">
      <pivotArea type="data" outline="0" fieldPosition="0">
        <references count="2">
          <reference field="4294967294" count="1" selected="0">
            <x v="0"/>
          </reference>
          <reference field="3" count="1" selected="0">
            <x v="2"/>
          </reference>
        </references>
      </pivotArea>
    </chartFormat>
    <chartFormat chart="2" format="100">
      <pivotArea type="data" outline="0" fieldPosition="0">
        <references count="2">
          <reference field="4294967294" count="1" selected="0">
            <x v="0"/>
          </reference>
          <reference field="3" count="1" selected="0">
            <x v="3"/>
          </reference>
        </references>
      </pivotArea>
    </chartFormat>
    <chartFormat chart="2" format="101">
      <pivotArea type="data" outline="0" fieldPosition="0">
        <references count="2">
          <reference field="4294967294" count="1" selected="0">
            <x v="0"/>
          </reference>
          <reference field="3" count="1" selected="0">
            <x v="4"/>
          </reference>
        </references>
      </pivotArea>
    </chartFormat>
    <chartFormat chart="2" format="102">
      <pivotArea type="data" outline="0" fieldPosition="0">
        <references count="2">
          <reference field="4294967294" count="1" selected="0">
            <x v="0"/>
          </reference>
          <reference field="3" count="1" selected="0">
            <x v="5"/>
          </reference>
        </references>
      </pivotArea>
    </chartFormat>
    <chartFormat chart="2" format="103">
      <pivotArea type="data" outline="0" fieldPosition="0">
        <references count="2">
          <reference field="4294967294" count="1" selected="0">
            <x v="0"/>
          </reference>
          <reference field="3" count="1" selected="0">
            <x v="6"/>
          </reference>
        </references>
      </pivotArea>
    </chartFormat>
    <chartFormat chart="2" format="104">
      <pivotArea type="data" outline="0" fieldPosition="0">
        <references count="2">
          <reference field="4294967294" count="1" selected="0">
            <x v="0"/>
          </reference>
          <reference field="3" count="1" selected="0">
            <x v="7"/>
          </reference>
        </references>
      </pivotArea>
    </chartFormat>
    <chartFormat chart="2" format="105">
      <pivotArea type="data" outline="0" fieldPosition="0">
        <references count="2">
          <reference field="4294967294" count="1" selected="0">
            <x v="0"/>
          </reference>
          <reference field="3" count="1" selected="0">
            <x v="8"/>
          </reference>
        </references>
      </pivotArea>
    </chartFormat>
    <chartFormat chart="2" format="106">
      <pivotArea type="data" outline="0" fieldPosition="0">
        <references count="2">
          <reference field="4294967294" count="1" selected="0">
            <x v="0"/>
          </reference>
          <reference field="3" count="1" selected="0">
            <x v="9"/>
          </reference>
        </references>
      </pivotArea>
    </chartFormat>
    <chartFormat chart="2" format="107">
      <pivotArea type="data" outline="0" fieldPosition="0">
        <references count="2">
          <reference field="4294967294" count="1" selected="0">
            <x v="0"/>
          </reference>
          <reference field="3" count="1" selected="0">
            <x v="10"/>
          </reference>
        </references>
      </pivotArea>
    </chartFormat>
    <chartFormat chart="2" format="108">
      <pivotArea type="data" outline="0" fieldPosition="0">
        <references count="2">
          <reference field="4294967294" count="1" selected="0">
            <x v="0"/>
          </reference>
          <reference field="3" count="1" selected="0">
            <x v="11"/>
          </reference>
        </references>
      </pivotArea>
    </chartFormat>
    <chartFormat chart="2" format="109">
      <pivotArea type="data" outline="0" fieldPosition="0">
        <references count="2">
          <reference field="4294967294" count="1" selected="0">
            <x v="0"/>
          </reference>
          <reference field="3" count="1" selected="0">
            <x v="12"/>
          </reference>
        </references>
      </pivotArea>
    </chartFormat>
    <chartFormat chart="2" format="110">
      <pivotArea type="data" outline="0" fieldPosition="0">
        <references count="2">
          <reference field="4294967294" count="1" selected="0">
            <x v="0"/>
          </reference>
          <reference field="3" count="1" selected="0">
            <x v="13"/>
          </reference>
        </references>
      </pivotArea>
    </chartFormat>
    <chartFormat chart="2" format="111">
      <pivotArea type="data" outline="0" fieldPosition="0">
        <references count="2">
          <reference field="4294967294" count="1" selected="0">
            <x v="0"/>
          </reference>
          <reference field="3" count="1" selected="0">
            <x v="14"/>
          </reference>
        </references>
      </pivotArea>
    </chartFormat>
    <chartFormat chart="2" format="112">
      <pivotArea type="data" outline="0" fieldPosition="0">
        <references count="2">
          <reference field="4294967294" count="1" selected="0">
            <x v="0"/>
          </reference>
          <reference field="3" count="1" selected="0">
            <x v="15"/>
          </reference>
        </references>
      </pivotArea>
    </chartFormat>
    <chartFormat chart="2" format="113">
      <pivotArea type="data" outline="0" fieldPosition="0">
        <references count="2">
          <reference field="4294967294" count="1" selected="0">
            <x v="0"/>
          </reference>
          <reference field="3" count="1" selected="0">
            <x v="16"/>
          </reference>
        </references>
      </pivotArea>
    </chartFormat>
    <chartFormat chart="2" format="114">
      <pivotArea type="data" outline="0" fieldPosition="0">
        <references count="2">
          <reference field="4294967294" count="1" selected="0">
            <x v="0"/>
          </reference>
          <reference field="3" count="1" selected="0">
            <x v="17"/>
          </reference>
        </references>
      </pivotArea>
    </chartFormat>
    <chartFormat chart="2" format="115">
      <pivotArea type="data" outline="0" fieldPosition="0">
        <references count="2">
          <reference field="4294967294" count="1" selected="0">
            <x v="0"/>
          </reference>
          <reference field="3" count="1" selected="0">
            <x v="18"/>
          </reference>
        </references>
      </pivotArea>
    </chartFormat>
    <chartFormat chart="2" format="116">
      <pivotArea type="data" outline="0" fieldPosition="0">
        <references count="2">
          <reference field="4294967294" count="1" selected="0">
            <x v="0"/>
          </reference>
          <reference field="3" count="1" selected="0">
            <x v="19"/>
          </reference>
        </references>
      </pivotArea>
    </chartFormat>
    <chartFormat chart="2" format="117">
      <pivotArea type="data" outline="0" fieldPosition="0">
        <references count="2">
          <reference field="4294967294" count="1" selected="0">
            <x v="0"/>
          </reference>
          <reference field="3" count="1" selected="0">
            <x v="20"/>
          </reference>
        </references>
      </pivotArea>
    </chartFormat>
    <chartFormat chart="2" format="118">
      <pivotArea type="data" outline="0" fieldPosition="0">
        <references count="2">
          <reference field="4294967294" count="1" selected="0">
            <x v="0"/>
          </reference>
          <reference field="3" count="1" selected="0">
            <x v="21"/>
          </reference>
        </references>
      </pivotArea>
    </chartFormat>
    <chartFormat chart="2" format="119">
      <pivotArea type="data" outline="0" fieldPosition="0">
        <references count="2">
          <reference field="4294967294" count="1" selected="0">
            <x v="0"/>
          </reference>
          <reference field="3" count="1" selected="0">
            <x v="22"/>
          </reference>
        </references>
      </pivotArea>
    </chartFormat>
    <chartFormat chart="2" format="120" series="1">
      <pivotArea type="data" outline="0" fieldPosition="0">
        <references count="1">
          <reference field="4294967294" count="1" selected="0">
            <x v="1"/>
          </reference>
        </references>
      </pivotArea>
    </chartFormat>
    <chartFormat chart="2" format="121">
      <pivotArea type="data" outline="0" fieldPosition="0">
        <references count="2">
          <reference field="4294967294" count="1" selected="0">
            <x v="1"/>
          </reference>
          <reference field="3" count="1" selected="0">
            <x v="0"/>
          </reference>
        </references>
      </pivotArea>
    </chartFormat>
    <chartFormat chart="2" format="122">
      <pivotArea type="data" outline="0" fieldPosition="0">
        <references count="2">
          <reference field="4294967294" count="1" selected="0">
            <x v="1"/>
          </reference>
          <reference field="3" count="1" selected="0">
            <x v="1"/>
          </reference>
        </references>
      </pivotArea>
    </chartFormat>
    <chartFormat chart="2" format="123">
      <pivotArea type="data" outline="0" fieldPosition="0">
        <references count="2">
          <reference field="4294967294" count="1" selected="0">
            <x v="1"/>
          </reference>
          <reference field="3" count="1" selected="0">
            <x v="2"/>
          </reference>
        </references>
      </pivotArea>
    </chartFormat>
    <chartFormat chart="2" format="124">
      <pivotArea type="data" outline="0" fieldPosition="0">
        <references count="2">
          <reference field="4294967294" count="1" selected="0">
            <x v="1"/>
          </reference>
          <reference field="3" count="1" selected="0">
            <x v="3"/>
          </reference>
        </references>
      </pivotArea>
    </chartFormat>
    <chartFormat chart="2" format="125">
      <pivotArea type="data" outline="0" fieldPosition="0">
        <references count="2">
          <reference field="4294967294" count="1" selected="0">
            <x v="1"/>
          </reference>
          <reference field="3" count="1" selected="0">
            <x v="4"/>
          </reference>
        </references>
      </pivotArea>
    </chartFormat>
    <chartFormat chart="2" format="126">
      <pivotArea type="data" outline="0" fieldPosition="0">
        <references count="2">
          <reference field="4294967294" count="1" selected="0">
            <x v="1"/>
          </reference>
          <reference field="3" count="1" selected="0">
            <x v="5"/>
          </reference>
        </references>
      </pivotArea>
    </chartFormat>
    <chartFormat chart="2" format="127">
      <pivotArea type="data" outline="0" fieldPosition="0">
        <references count="2">
          <reference field="4294967294" count="1" selected="0">
            <x v="1"/>
          </reference>
          <reference field="3" count="1" selected="0">
            <x v="6"/>
          </reference>
        </references>
      </pivotArea>
    </chartFormat>
    <chartFormat chart="2" format="128">
      <pivotArea type="data" outline="0" fieldPosition="0">
        <references count="2">
          <reference field="4294967294" count="1" selected="0">
            <x v="1"/>
          </reference>
          <reference field="3" count="1" selected="0">
            <x v="7"/>
          </reference>
        </references>
      </pivotArea>
    </chartFormat>
    <chartFormat chart="2" format="129">
      <pivotArea type="data" outline="0" fieldPosition="0">
        <references count="2">
          <reference field="4294967294" count="1" selected="0">
            <x v="1"/>
          </reference>
          <reference field="3" count="1" selected="0">
            <x v="8"/>
          </reference>
        </references>
      </pivotArea>
    </chartFormat>
    <chartFormat chart="2" format="130">
      <pivotArea type="data" outline="0" fieldPosition="0">
        <references count="2">
          <reference field="4294967294" count="1" selected="0">
            <x v="1"/>
          </reference>
          <reference field="3" count="1" selected="0">
            <x v="9"/>
          </reference>
        </references>
      </pivotArea>
    </chartFormat>
    <chartFormat chart="2" format="131">
      <pivotArea type="data" outline="0" fieldPosition="0">
        <references count="2">
          <reference field="4294967294" count="1" selected="0">
            <x v="1"/>
          </reference>
          <reference field="3" count="1" selected="0">
            <x v="10"/>
          </reference>
        </references>
      </pivotArea>
    </chartFormat>
    <chartFormat chart="2" format="132">
      <pivotArea type="data" outline="0" fieldPosition="0">
        <references count="2">
          <reference field="4294967294" count="1" selected="0">
            <x v="1"/>
          </reference>
          <reference field="3" count="1" selected="0">
            <x v="11"/>
          </reference>
        </references>
      </pivotArea>
    </chartFormat>
    <chartFormat chart="2" format="133">
      <pivotArea type="data" outline="0" fieldPosition="0">
        <references count="2">
          <reference field="4294967294" count="1" selected="0">
            <x v="1"/>
          </reference>
          <reference field="3" count="1" selected="0">
            <x v="12"/>
          </reference>
        </references>
      </pivotArea>
    </chartFormat>
    <chartFormat chart="2" format="134">
      <pivotArea type="data" outline="0" fieldPosition="0">
        <references count="2">
          <reference field="4294967294" count="1" selected="0">
            <x v="1"/>
          </reference>
          <reference field="3" count="1" selected="0">
            <x v="13"/>
          </reference>
        </references>
      </pivotArea>
    </chartFormat>
    <chartFormat chart="2" format="135">
      <pivotArea type="data" outline="0" fieldPosition="0">
        <references count="2">
          <reference field="4294967294" count="1" selected="0">
            <x v="1"/>
          </reference>
          <reference field="3" count="1" selected="0">
            <x v="14"/>
          </reference>
        </references>
      </pivotArea>
    </chartFormat>
    <chartFormat chart="2" format="136">
      <pivotArea type="data" outline="0" fieldPosition="0">
        <references count="2">
          <reference field="4294967294" count="1" selected="0">
            <x v="1"/>
          </reference>
          <reference field="3" count="1" selected="0">
            <x v="15"/>
          </reference>
        </references>
      </pivotArea>
    </chartFormat>
    <chartFormat chart="2" format="137">
      <pivotArea type="data" outline="0" fieldPosition="0">
        <references count="2">
          <reference field="4294967294" count="1" selected="0">
            <x v="1"/>
          </reference>
          <reference field="3" count="1" selected="0">
            <x v="16"/>
          </reference>
        </references>
      </pivotArea>
    </chartFormat>
    <chartFormat chart="2" format="138">
      <pivotArea type="data" outline="0" fieldPosition="0">
        <references count="2">
          <reference field="4294967294" count="1" selected="0">
            <x v="1"/>
          </reference>
          <reference field="3" count="1" selected="0">
            <x v="17"/>
          </reference>
        </references>
      </pivotArea>
    </chartFormat>
    <chartFormat chart="2" format="139">
      <pivotArea type="data" outline="0" fieldPosition="0">
        <references count="2">
          <reference field="4294967294" count="1" selected="0">
            <x v="1"/>
          </reference>
          <reference field="3" count="1" selected="0">
            <x v="18"/>
          </reference>
        </references>
      </pivotArea>
    </chartFormat>
    <chartFormat chart="2" format="140">
      <pivotArea type="data" outline="0" fieldPosition="0">
        <references count="2">
          <reference field="4294967294" count="1" selected="0">
            <x v="1"/>
          </reference>
          <reference field="3" count="1" selected="0">
            <x v="19"/>
          </reference>
        </references>
      </pivotArea>
    </chartFormat>
    <chartFormat chart="2" format="141">
      <pivotArea type="data" outline="0" fieldPosition="0">
        <references count="2">
          <reference field="4294967294" count="1" selected="0">
            <x v="1"/>
          </reference>
          <reference field="3" count="1" selected="0">
            <x v="20"/>
          </reference>
        </references>
      </pivotArea>
    </chartFormat>
    <chartFormat chart="2" format="142">
      <pivotArea type="data" outline="0" fieldPosition="0">
        <references count="2">
          <reference field="4294967294" count="1" selected="0">
            <x v="1"/>
          </reference>
          <reference field="3" count="1" selected="0">
            <x v="21"/>
          </reference>
        </references>
      </pivotArea>
    </chartFormat>
    <chartFormat chart="2" format="143">
      <pivotArea type="data" outline="0" fieldPosition="0">
        <references count="2">
          <reference field="4294967294" count="1" selected="0">
            <x v="1"/>
          </reference>
          <reference field="3" count="1" selected="0">
            <x v="22"/>
          </reference>
        </references>
      </pivotArea>
    </chartFormat>
    <chartFormat chart="13" format="65" series="1">
      <pivotArea type="data" outline="0" fieldPosition="0">
        <references count="1">
          <reference field="4294967294" count="1" selected="0">
            <x v="0"/>
          </reference>
        </references>
      </pivotArea>
    </chartFormat>
    <chartFormat chart="13" format="66">
      <pivotArea type="data" outline="0" fieldPosition="0">
        <references count="2">
          <reference field="4294967294" count="1" selected="0">
            <x v="0"/>
          </reference>
          <reference field="3" count="1" selected="0">
            <x v="0"/>
          </reference>
        </references>
      </pivotArea>
    </chartFormat>
    <chartFormat chart="13" format="67">
      <pivotArea type="data" outline="0" fieldPosition="0">
        <references count="2">
          <reference field="4294967294" count="1" selected="0">
            <x v="0"/>
          </reference>
          <reference field="3" count="1" selected="0">
            <x v="1"/>
          </reference>
        </references>
      </pivotArea>
    </chartFormat>
    <chartFormat chart="13" format="68">
      <pivotArea type="data" outline="0" fieldPosition="0">
        <references count="2">
          <reference field="4294967294" count="1" selected="0">
            <x v="0"/>
          </reference>
          <reference field="3" count="1" selected="0">
            <x v="2"/>
          </reference>
        </references>
      </pivotArea>
    </chartFormat>
    <chartFormat chart="13" format="69">
      <pivotArea type="data" outline="0" fieldPosition="0">
        <references count="2">
          <reference field="4294967294" count="1" selected="0">
            <x v="0"/>
          </reference>
          <reference field="3" count="1" selected="0">
            <x v="3"/>
          </reference>
        </references>
      </pivotArea>
    </chartFormat>
    <chartFormat chart="13" format="70">
      <pivotArea type="data" outline="0" fieldPosition="0">
        <references count="2">
          <reference field="4294967294" count="1" selected="0">
            <x v="0"/>
          </reference>
          <reference field="3" count="1" selected="0">
            <x v="4"/>
          </reference>
        </references>
      </pivotArea>
    </chartFormat>
    <chartFormat chart="13" format="71">
      <pivotArea type="data" outline="0" fieldPosition="0">
        <references count="2">
          <reference field="4294967294" count="1" selected="0">
            <x v="0"/>
          </reference>
          <reference field="3" count="1" selected="0">
            <x v="5"/>
          </reference>
        </references>
      </pivotArea>
    </chartFormat>
    <chartFormat chart="13" format="72">
      <pivotArea type="data" outline="0" fieldPosition="0">
        <references count="2">
          <reference field="4294967294" count="1" selected="0">
            <x v="0"/>
          </reference>
          <reference field="3" count="1" selected="0">
            <x v="6"/>
          </reference>
        </references>
      </pivotArea>
    </chartFormat>
    <chartFormat chart="13" format="73">
      <pivotArea type="data" outline="0" fieldPosition="0">
        <references count="2">
          <reference field="4294967294" count="1" selected="0">
            <x v="0"/>
          </reference>
          <reference field="3" count="1" selected="0">
            <x v="7"/>
          </reference>
        </references>
      </pivotArea>
    </chartFormat>
    <chartFormat chart="13" format="74">
      <pivotArea type="data" outline="0" fieldPosition="0">
        <references count="2">
          <reference field="4294967294" count="1" selected="0">
            <x v="0"/>
          </reference>
          <reference field="3" count="1" selected="0">
            <x v="8"/>
          </reference>
        </references>
      </pivotArea>
    </chartFormat>
    <chartFormat chart="13" format="75">
      <pivotArea type="data" outline="0" fieldPosition="0">
        <references count="2">
          <reference field="4294967294" count="1" selected="0">
            <x v="0"/>
          </reference>
          <reference field="3" count="1" selected="0">
            <x v="9"/>
          </reference>
        </references>
      </pivotArea>
    </chartFormat>
    <chartFormat chart="13" format="76">
      <pivotArea type="data" outline="0" fieldPosition="0">
        <references count="2">
          <reference field="4294967294" count="1" selected="0">
            <x v="0"/>
          </reference>
          <reference field="3" count="1" selected="0">
            <x v="10"/>
          </reference>
        </references>
      </pivotArea>
    </chartFormat>
    <chartFormat chart="13" format="77">
      <pivotArea type="data" outline="0" fieldPosition="0">
        <references count="2">
          <reference field="4294967294" count="1" selected="0">
            <x v="0"/>
          </reference>
          <reference field="3" count="1" selected="0">
            <x v="11"/>
          </reference>
        </references>
      </pivotArea>
    </chartFormat>
    <chartFormat chart="13" format="78">
      <pivotArea type="data" outline="0" fieldPosition="0">
        <references count="2">
          <reference field="4294967294" count="1" selected="0">
            <x v="0"/>
          </reference>
          <reference field="3" count="1" selected="0">
            <x v="12"/>
          </reference>
        </references>
      </pivotArea>
    </chartFormat>
    <chartFormat chart="13" format="79">
      <pivotArea type="data" outline="0" fieldPosition="0">
        <references count="2">
          <reference field="4294967294" count="1" selected="0">
            <x v="0"/>
          </reference>
          <reference field="3" count="1" selected="0">
            <x v="13"/>
          </reference>
        </references>
      </pivotArea>
    </chartFormat>
    <chartFormat chart="13" format="80">
      <pivotArea type="data" outline="0" fieldPosition="0">
        <references count="2">
          <reference field="4294967294" count="1" selected="0">
            <x v="0"/>
          </reference>
          <reference field="3" count="1" selected="0">
            <x v="14"/>
          </reference>
        </references>
      </pivotArea>
    </chartFormat>
    <chartFormat chart="13" format="8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6AA3115-A16A-4C86-883E-B25BB6596FB7}" name="PivotTable5"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1">
  <location ref="A246:B351" firstHeaderRow="1" firstDataRow="1" firstDataCol="1"/>
  <pivotFields count="13">
    <pivotField showAll="0"/>
    <pivotField showAll="0"/>
    <pivotField showAll="0"/>
    <pivotField showAll="0"/>
    <pivotField dataField="1" showAll="0"/>
    <pivotField numFmtId="165" showAll="0"/>
    <pivotField showAll="0"/>
    <pivotField axis="axisRow" showAll="0">
      <items count="52">
        <item x="0"/>
        <item x="1"/>
        <item x="2"/>
        <item x="3"/>
        <item x="4"/>
        <item x="5"/>
        <item x="6"/>
        <item x="7"/>
        <item x="8"/>
        <item x="38"/>
        <item x="43"/>
        <item x="9"/>
        <item x="10"/>
        <item x="11"/>
        <item x="12"/>
        <item x="13"/>
        <item x="14"/>
        <item x="22"/>
        <item x="15"/>
        <item x="16"/>
        <item x="30"/>
        <item x="45"/>
        <item x="18"/>
        <item x="50"/>
        <item x="34"/>
        <item x="32"/>
        <item x="21"/>
        <item x="40"/>
        <item x="17"/>
        <item x="33"/>
        <item x="23"/>
        <item x="19"/>
        <item x="24"/>
        <item x="46"/>
        <item x="25"/>
        <item x="27"/>
        <item x="29"/>
        <item x="49"/>
        <item x="47"/>
        <item x="26"/>
        <item x="42"/>
        <item x="28"/>
        <item x="31"/>
        <item x="20"/>
        <item x="41"/>
        <item x="44"/>
        <item x="35"/>
        <item x="48"/>
        <item x="36"/>
        <item x="37"/>
        <item x="39"/>
        <item t="default"/>
      </items>
    </pivotField>
    <pivotField axis="axisRow" showAll="0">
      <items count="19">
        <item x="5"/>
        <item x="16"/>
        <item x="14"/>
        <item x="2"/>
        <item x="12"/>
        <item x="11"/>
        <item x="17"/>
        <item x="8"/>
        <item x="15"/>
        <item x="7"/>
        <item x="3"/>
        <item x="6"/>
        <item x="4"/>
        <item x="9"/>
        <item x="0"/>
        <item x="1"/>
        <item x="10"/>
        <item x="13"/>
        <item t="default"/>
      </items>
    </pivotField>
    <pivotField showAll="0"/>
    <pivotField showAll="0"/>
    <pivotField showAll="0"/>
    <pivotField showAll="0"/>
  </pivotFields>
  <rowFields count="2">
    <field x="7"/>
    <field x="8"/>
  </rowFields>
  <rowItems count="105">
    <i>
      <x/>
    </i>
    <i r="1">
      <x v="14"/>
    </i>
    <i>
      <x v="1"/>
    </i>
    <i r="1">
      <x v="15"/>
    </i>
    <i>
      <x v="2"/>
    </i>
    <i r="1">
      <x v="3"/>
    </i>
    <i>
      <x v="3"/>
    </i>
    <i r="1">
      <x v="10"/>
    </i>
    <i>
      <x v="4"/>
    </i>
    <i r="1">
      <x v="12"/>
    </i>
    <i>
      <x v="5"/>
    </i>
    <i r="1">
      <x v="15"/>
    </i>
    <i>
      <x v="6"/>
    </i>
    <i r="1">
      <x/>
    </i>
    <i>
      <x v="7"/>
    </i>
    <i r="1">
      <x v="11"/>
    </i>
    <i>
      <x v="8"/>
    </i>
    <i r="1">
      <x v="9"/>
    </i>
    <i>
      <x v="9"/>
    </i>
    <i r="1">
      <x v="15"/>
    </i>
    <i>
      <x v="10"/>
    </i>
    <i r="1">
      <x v="4"/>
    </i>
    <i>
      <x v="11"/>
    </i>
    <i r="1">
      <x v="7"/>
    </i>
    <i>
      <x v="12"/>
    </i>
    <i r="1">
      <x v="15"/>
    </i>
    <i>
      <x v="13"/>
    </i>
    <i r="1">
      <x v="4"/>
    </i>
    <i r="1">
      <x v="11"/>
    </i>
    <i>
      <x v="14"/>
    </i>
    <i r="1">
      <x v="13"/>
    </i>
    <i>
      <x v="15"/>
    </i>
    <i r="1">
      <x v="13"/>
    </i>
    <i>
      <x v="16"/>
    </i>
    <i r="1">
      <x v="16"/>
    </i>
    <i>
      <x v="17"/>
    </i>
    <i r="1">
      <x v="2"/>
    </i>
    <i>
      <x v="18"/>
    </i>
    <i r="1">
      <x v="5"/>
    </i>
    <i>
      <x v="19"/>
    </i>
    <i r="1">
      <x v="4"/>
    </i>
    <i>
      <x v="20"/>
    </i>
    <i r="1">
      <x v="15"/>
    </i>
    <i>
      <x v="21"/>
    </i>
    <i r="1">
      <x v="15"/>
    </i>
    <i>
      <x v="22"/>
    </i>
    <i r="1">
      <x v="4"/>
    </i>
    <i>
      <x v="23"/>
    </i>
    <i r="1">
      <x v="7"/>
    </i>
    <i>
      <x v="24"/>
    </i>
    <i r="1">
      <x v="12"/>
    </i>
    <i>
      <x v="25"/>
    </i>
    <i r="1">
      <x v="6"/>
    </i>
    <i>
      <x v="26"/>
    </i>
    <i r="1">
      <x v="4"/>
    </i>
    <i>
      <x v="27"/>
    </i>
    <i r="1">
      <x v="15"/>
    </i>
    <i>
      <x v="28"/>
    </i>
    <i r="1">
      <x v="15"/>
    </i>
    <i>
      <x v="29"/>
    </i>
    <i r="1">
      <x v="4"/>
    </i>
    <i>
      <x v="30"/>
    </i>
    <i r="1">
      <x v="8"/>
    </i>
    <i>
      <x v="31"/>
    </i>
    <i r="1">
      <x v="17"/>
    </i>
    <i>
      <x v="32"/>
    </i>
    <i r="1">
      <x v="9"/>
    </i>
    <i>
      <x v="33"/>
    </i>
    <i r="1">
      <x v="15"/>
    </i>
    <i>
      <x v="34"/>
    </i>
    <i r="1">
      <x v="11"/>
    </i>
    <i>
      <x v="35"/>
    </i>
    <i r="1">
      <x v="15"/>
    </i>
    <i>
      <x v="36"/>
    </i>
    <i r="1">
      <x v="9"/>
    </i>
    <i>
      <x v="37"/>
    </i>
    <i r="1">
      <x v="4"/>
    </i>
    <i>
      <x v="38"/>
    </i>
    <i r="1">
      <x v="9"/>
    </i>
    <i>
      <x v="39"/>
    </i>
    <i r="1">
      <x v="15"/>
    </i>
    <i>
      <x v="40"/>
    </i>
    <i r="1">
      <x v="4"/>
    </i>
    <i>
      <x v="41"/>
    </i>
    <i r="1">
      <x v="1"/>
    </i>
    <i>
      <x v="42"/>
    </i>
    <i r="1">
      <x v="9"/>
    </i>
    <i>
      <x v="43"/>
    </i>
    <i r="1">
      <x v="4"/>
    </i>
    <i>
      <x v="44"/>
    </i>
    <i r="1">
      <x v="4"/>
    </i>
    <i>
      <x v="45"/>
    </i>
    <i r="1">
      <x v="6"/>
    </i>
    <i>
      <x v="46"/>
    </i>
    <i r="1">
      <x v="3"/>
    </i>
    <i>
      <x v="47"/>
    </i>
    <i r="1">
      <x v="3"/>
    </i>
    <i>
      <x v="48"/>
    </i>
    <i r="1">
      <x v="15"/>
    </i>
    <i>
      <x v="49"/>
    </i>
    <i r="1">
      <x/>
    </i>
    <i>
      <x v="50"/>
    </i>
    <i r="1">
      <x/>
    </i>
    <i r="1">
      <x v="9"/>
    </i>
    <i t="grand">
      <x/>
    </i>
  </rowItems>
  <colItems count="1">
    <i/>
  </colItems>
  <dataFields count="1">
    <dataField name="Count of Quantity" fld="4" subtotal="count" baseField="3" baseItem="0"/>
  </dataFields>
  <chartFormats count="59">
    <chartFormat chart="0" format="0" series="1">
      <pivotArea type="data" outline="0" fieldPosition="0">
        <references count="1">
          <reference field="4294967294" count="1" selected="0">
            <x v="0"/>
          </reference>
        </references>
      </pivotArea>
    </chartFormat>
    <chartFormat chart="1" format="48" series="1">
      <pivotArea type="data" outline="0" fieldPosition="0">
        <references count="1">
          <reference field="4294967294" count="1" selected="0">
            <x v="0"/>
          </reference>
        </references>
      </pivotArea>
    </chartFormat>
    <chartFormat chart="2" format="96" series="1">
      <pivotArea type="data" outline="0" fieldPosition="0">
        <references count="1">
          <reference field="4294967294" count="1" selected="0">
            <x v="0"/>
          </reference>
        </references>
      </pivotArea>
    </chartFormat>
    <chartFormat chart="13" format="65" series="1">
      <pivotArea type="data" outline="0" fieldPosition="0">
        <references count="1">
          <reference field="4294967294" count="1" selected="0">
            <x v="0"/>
          </reference>
        </references>
      </pivotArea>
    </chartFormat>
    <chartFormat chart="38" format="0" series="1">
      <pivotArea type="data" outline="0" fieldPosition="0">
        <references count="1">
          <reference field="4294967294" count="1" selected="0">
            <x v="0"/>
          </reference>
        </references>
      </pivotArea>
    </chartFormat>
    <chartFormat chart="43" format="0" series="1">
      <pivotArea type="data" outline="0" fieldPosition="0">
        <references count="1">
          <reference field="4294967294" count="1" selected="0">
            <x v="0"/>
          </reference>
        </references>
      </pivotArea>
    </chartFormat>
    <chartFormat chart="43" format="1">
      <pivotArea type="data" outline="0" fieldPosition="0">
        <references count="3">
          <reference field="4294967294" count="1" selected="0">
            <x v="0"/>
          </reference>
          <reference field="7" count="1" selected="0">
            <x v="0"/>
          </reference>
          <reference field="8" count="1" selected="0">
            <x v="14"/>
          </reference>
        </references>
      </pivotArea>
    </chartFormat>
    <chartFormat chart="43" format="2">
      <pivotArea type="data" outline="0" fieldPosition="0">
        <references count="3">
          <reference field="4294967294" count="1" selected="0">
            <x v="0"/>
          </reference>
          <reference field="7" count="1" selected="0">
            <x v="1"/>
          </reference>
          <reference field="8" count="1" selected="0">
            <x v="15"/>
          </reference>
        </references>
      </pivotArea>
    </chartFormat>
    <chartFormat chart="43" format="3">
      <pivotArea type="data" outline="0" fieldPosition="0">
        <references count="3">
          <reference field="4294967294" count="1" selected="0">
            <x v="0"/>
          </reference>
          <reference field="7" count="1" selected="0">
            <x v="2"/>
          </reference>
          <reference field="8" count="1" selected="0">
            <x v="3"/>
          </reference>
        </references>
      </pivotArea>
    </chartFormat>
    <chartFormat chart="43" format="4">
      <pivotArea type="data" outline="0" fieldPosition="0">
        <references count="3">
          <reference field="4294967294" count="1" selected="0">
            <x v="0"/>
          </reference>
          <reference field="7" count="1" selected="0">
            <x v="3"/>
          </reference>
          <reference field="8" count="1" selected="0">
            <x v="10"/>
          </reference>
        </references>
      </pivotArea>
    </chartFormat>
    <chartFormat chart="43" format="5">
      <pivotArea type="data" outline="0" fieldPosition="0">
        <references count="3">
          <reference field="4294967294" count="1" selected="0">
            <x v="0"/>
          </reference>
          <reference field="7" count="1" selected="0">
            <x v="4"/>
          </reference>
          <reference field="8" count="1" selected="0">
            <x v="12"/>
          </reference>
        </references>
      </pivotArea>
    </chartFormat>
    <chartFormat chart="43" format="6">
      <pivotArea type="data" outline="0" fieldPosition="0">
        <references count="3">
          <reference field="4294967294" count="1" selected="0">
            <x v="0"/>
          </reference>
          <reference field="7" count="1" selected="0">
            <x v="5"/>
          </reference>
          <reference field="8" count="1" selected="0">
            <x v="15"/>
          </reference>
        </references>
      </pivotArea>
    </chartFormat>
    <chartFormat chart="43" format="7">
      <pivotArea type="data" outline="0" fieldPosition="0">
        <references count="3">
          <reference field="4294967294" count="1" selected="0">
            <x v="0"/>
          </reference>
          <reference field="7" count="1" selected="0">
            <x v="6"/>
          </reference>
          <reference field="8" count="1" selected="0">
            <x v="0"/>
          </reference>
        </references>
      </pivotArea>
    </chartFormat>
    <chartFormat chart="43" format="8">
      <pivotArea type="data" outline="0" fieldPosition="0">
        <references count="3">
          <reference field="4294967294" count="1" selected="0">
            <x v="0"/>
          </reference>
          <reference field="7" count="1" selected="0">
            <x v="7"/>
          </reference>
          <reference field="8" count="1" selected="0">
            <x v="11"/>
          </reference>
        </references>
      </pivotArea>
    </chartFormat>
    <chartFormat chart="43" format="9">
      <pivotArea type="data" outline="0" fieldPosition="0">
        <references count="3">
          <reference field="4294967294" count="1" selected="0">
            <x v="0"/>
          </reference>
          <reference field="7" count="1" selected="0">
            <x v="8"/>
          </reference>
          <reference field="8" count="1" selected="0">
            <x v="9"/>
          </reference>
        </references>
      </pivotArea>
    </chartFormat>
    <chartFormat chart="43" format="10">
      <pivotArea type="data" outline="0" fieldPosition="0">
        <references count="3">
          <reference field="4294967294" count="1" selected="0">
            <x v="0"/>
          </reference>
          <reference field="7" count="1" selected="0">
            <x v="9"/>
          </reference>
          <reference field="8" count="1" selected="0">
            <x v="15"/>
          </reference>
        </references>
      </pivotArea>
    </chartFormat>
    <chartFormat chart="43" format="11">
      <pivotArea type="data" outline="0" fieldPosition="0">
        <references count="3">
          <reference field="4294967294" count="1" selected="0">
            <x v="0"/>
          </reference>
          <reference field="7" count="1" selected="0">
            <x v="10"/>
          </reference>
          <reference field="8" count="1" selected="0">
            <x v="4"/>
          </reference>
        </references>
      </pivotArea>
    </chartFormat>
    <chartFormat chart="43" format="12">
      <pivotArea type="data" outline="0" fieldPosition="0">
        <references count="3">
          <reference field="4294967294" count="1" selected="0">
            <x v="0"/>
          </reference>
          <reference field="7" count="1" selected="0">
            <x v="11"/>
          </reference>
          <reference field="8" count="1" selected="0">
            <x v="7"/>
          </reference>
        </references>
      </pivotArea>
    </chartFormat>
    <chartFormat chart="43" format="13">
      <pivotArea type="data" outline="0" fieldPosition="0">
        <references count="3">
          <reference field="4294967294" count="1" selected="0">
            <x v="0"/>
          </reference>
          <reference field="7" count="1" selected="0">
            <x v="12"/>
          </reference>
          <reference field="8" count="1" selected="0">
            <x v="15"/>
          </reference>
        </references>
      </pivotArea>
    </chartFormat>
    <chartFormat chart="43" format="14">
      <pivotArea type="data" outline="0" fieldPosition="0">
        <references count="3">
          <reference field="4294967294" count="1" selected="0">
            <x v="0"/>
          </reference>
          <reference field="7" count="1" selected="0">
            <x v="13"/>
          </reference>
          <reference field="8" count="1" selected="0">
            <x v="4"/>
          </reference>
        </references>
      </pivotArea>
    </chartFormat>
    <chartFormat chart="43" format="15">
      <pivotArea type="data" outline="0" fieldPosition="0">
        <references count="3">
          <reference field="4294967294" count="1" selected="0">
            <x v="0"/>
          </reference>
          <reference field="7" count="1" selected="0">
            <x v="13"/>
          </reference>
          <reference field="8" count="1" selected="0">
            <x v="11"/>
          </reference>
        </references>
      </pivotArea>
    </chartFormat>
    <chartFormat chart="43" format="16">
      <pivotArea type="data" outline="0" fieldPosition="0">
        <references count="3">
          <reference field="4294967294" count="1" selected="0">
            <x v="0"/>
          </reference>
          <reference field="7" count="1" selected="0">
            <x v="14"/>
          </reference>
          <reference field="8" count="1" selected="0">
            <x v="13"/>
          </reference>
        </references>
      </pivotArea>
    </chartFormat>
    <chartFormat chart="43" format="17">
      <pivotArea type="data" outline="0" fieldPosition="0">
        <references count="3">
          <reference field="4294967294" count="1" selected="0">
            <x v="0"/>
          </reference>
          <reference field="7" count="1" selected="0">
            <x v="15"/>
          </reference>
          <reference field="8" count="1" selected="0">
            <x v="13"/>
          </reference>
        </references>
      </pivotArea>
    </chartFormat>
    <chartFormat chart="43" format="18">
      <pivotArea type="data" outline="0" fieldPosition="0">
        <references count="3">
          <reference field="4294967294" count="1" selected="0">
            <x v="0"/>
          </reference>
          <reference field="7" count="1" selected="0">
            <x v="16"/>
          </reference>
          <reference field="8" count="1" selected="0">
            <x v="16"/>
          </reference>
        </references>
      </pivotArea>
    </chartFormat>
    <chartFormat chart="43" format="19">
      <pivotArea type="data" outline="0" fieldPosition="0">
        <references count="3">
          <reference field="4294967294" count="1" selected="0">
            <x v="0"/>
          </reference>
          <reference field="7" count="1" selected="0">
            <x v="17"/>
          </reference>
          <reference field="8" count="1" selected="0">
            <x v="2"/>
          </reference>
        </references>
      </pivotArea>
    </chartFormat>
    <chartFormat chart="43" format="20">
      <pivotArea type="data" outline="0" fieldPosition="0">
        <references count="3">
          <reference field="4294967294" count="1" selected="0">
            <x v="0"/>
          </reference>
          <reference field="7" count="1" selected="0">
            <x v="18"/>
          </reference>
          <reference field="8" count="1" selected="0">
            <x v="5"/>
          </reference>
        </references>
      </pivotArea>
    </chartFormat>
    <chartFormat chart="43" format="21">
      <pivotArea type="data" outline="0" fieldPosition="0">
        <references count="3">
          <reference field="4294967294" count="1" selected="0">
            <x v="0"/>
          </reference>
          <reference field="7" count="1" selected="0">
            <x v="19"/>
          </reference>
          <reference field="8" count="1" selected="0">
            <x v="4"/>
          </reference>
        </references>
      </pivotArea>
    </chartFormat>
    <chartFormat chart="43" format="22">
      <pivotArea type="data" outline="0" fieldPosition="0">
        <references count="3">
          <reference field="4294967294" count="1" selected="0">
            <x v="0"/>
          </reference>
          <reference field="7" count="1" selected="0">
            <x v="20"/>
          </reference>
          <reference field="8" count="1" selected="0">
            <x v="15"/>
          </reference>
        </references>
      </pivotArea>
    </chartFormat>
    <chartFormat chart="43" format="23">
      <pivotArea type="data" outline="0" fieldPosition="0">
        <references count="3">
          <reference field="4294967294" count="1" selected="0">
            <x v="0"/>
          </reference>
          <reference field="7" count="1" selected="0">
            <x v="21"/>
          </reference>
          <reference field="8" count="1" selected="0">
            <x v="15"/>
          </reference>
        </references>
      </pivotArea>
    </chartFormat>
    <chartFormat chart="43" format="24">
      <pivotArea type="data" outline="0" fieldPosition="0">
        <references count="3">
          <reference field="4294967294" count="1" selected="0">
            <x v="0"/>
          </reference>
          <reference field="7" count="1" selected="0">
            <x v="22"/>
          </reference>
          <reference field="8" count="1" selected="0">
            <x v="4"/>
          </reference>
        </references>
      </pivotArea>
    </chartFormat>
    <chartFormat chart="43" format="25">
      <pivotArea type="data" outline="0" fieldPosition="0">
        <references count="3">
          <reference field="4294967294" count="1" selected="0">
            <x v="0"/>
          </reference>
          <reference field="7" count="1" selected="0">
            <x v="23"/>
          </reference>
          <reference field="8" count="1" selected="0">
            <x v="7"/>
          </reference>
        </references>
      </pivotArea>
    </chartFormat>
    <chartFormat chart="43" format="26">
      <pivotArea type="data" outline="0" fieldPosition="0">
        <references count="3">
          <reference field="4294967294" count="1" selected="0">
            <x v="0"/>
          </reference>
          <reference field="7" count="1" selected="0">
            <x v="24"/>
          </reference>
          <reference field="8" count="1" selected="0">
            <x v="12"/>
          </reference>
        </references>
      </pivotArea>
    </chartFormat>
    <chartFormat chart="43" format="27">
      <pivotArea type="data" outline="0" fieldPosition="0">
        <references count="3">
          <reference field="4294967294" count="1" selected="0">
            <x v="0"/>
          </reference>
          <reference field="7" count="1" selected="0">
            <x v="25"/>
          </reference>
          <reference field="8" count="1" selected="0">
            <x v="6"/>
          </reference>
        </references>
      </pivotArea>
    </chartFormat>
    <chartFormat chart="43" format="28">
      <pivotArea type="data" outline="0" fieldPosition="0">
        <references count="3">
          <reference field="4294967294" count="1" selected="0">
            <x v="0"/>
          </reference>
          <reference field="7" count="1" selected="0">
            <x v="26"/>
          </reference>
          <reference field="8" count="1" selected="0">
            <x v="4"/>
          </reference>
        </references>
      </pivotArea>
    </chartFormat>
    <chartFormat chart="43" format="29">
      <pivotArea type="data" outline="0" fieldPosition="0">
        <references count="3">
          <reference field="4294967294" count="1" selected="0">
            <x v="0"/>
          </reference>
          <reference field="7" count="1" selected="0">
            <x v="27"/>
          </reference>
          <reference field="8" count="1" selected="0">
            <x v="15"/>
          </reference>
        </references>
      </pivotArea>
    </chartFormat>
    <chartFormat chart="43" format="30">
      <pivotArea type="data" outline="0" fieldPosition="0">
        <references count="3">
          <reference field="4294967294" count="1" selected="0">
            <x v="0"/>
          </reference>
          <reference field="7" count="1" selected="0">
            <x v="28"/>
          </reference>
          <reference field="8" count="1" selected="0">
            <x v="15"/>
          </reference>
        </references>
      </pivotArea>
    </chartFormat>
    <chartFormat chart="43" format="31">
      <pivotArea type="data" outline="0" fieldPosition="0">
        <references count="3">
          <reference field="4294967294" count="1" selected="0">
            <x v="0"/>
          </reference>
          <reference field="7" count="1" selected="0">
            <x v="29"/>
          </reference>
          <reference field="8" count="1" selected="0">
            <x v="4"/>
          </reference>
        </references>
      </pivotArea>
    </chartFormat>
    <chartFormat chart="43" format="32">
      <pivotArea type="data" outline="0" fieldPosition="0">
        <references count="3">
          <reference field="4294967294" count="1" selected="0">
            <x v="0"/>
          </reference>
          <reference field="7" count="1" selected="0">
            <x v="30"/>
          </reference>
          <reference field="8" count="1" selected="0">
            <x v="8"/>
          </reference>
        </references>
      </pivotArea>
    </chartFormat>
    <chartFormat chart="43" format="33">
      <pivotArea type="data" outline="0" fieldPosition="0">
        <references count="3">
          <reference field="4294967294" count="1" selected="0">
            <x v="0"/>
          </reference>
          <reference field="7" count="1" selected="0">
            <x v="31"/>
          </reference>
          <reference field="8" count="1" selected="0">
            <x v="17"/>
          </reference>
        </references>
      </pivotArea>
    </chartFormat>
    <chartFormat chart="43" format="34">
      <pivotArea type="data" outline="0" fieldPosition="0">
        <references count="3">
          <reference field="4294967294" count="1" selected="0">
            <x v="0"/>
          </reference>
          <reference field="7" count="1" selected="0">
            <x v="32"/>
          </reference>
          <reference field="8" count="1" selected="0">
            <x v="9"/>
          </reference>
        </references>
      </pivotArea>
    </chartFormat>
    <chartFormat chart="43" format="35">
      <pivotArea type="data" outline="0" fieldPosition="0">
        <references count="3">
          <reference field="4294967294" count="1" selected="0">
            <x v="0"/>
          </reference>
          <reference field="7" count="1" selected="0">
            <x v="33"/>
          </reference>
          <reference field="8" count="1" selected="0">
            <x v="15"/>
          </reference>
        </references>
      </pivotArea>
    </chartFormat>
    <chartFormat chart="43" format="36">
      <pivotArea type="data" outline="0" fieldPosition="0">
        <references count="3">
          <reference field="4294967294" count="1" selected="0">
            <x v="0"/>
          </reference>
          <reference field="7" count="1" selected="0">
            <x v="34"/>
          </reference>
          <reference field="8" count="1" selected="0">
            <x v="11"/>
          </reference>
        </references>
      </pivotArea>
    </chartFormat>
    <chartFormat chart="43" format="37">
      <pivotArea type="data" outline="0" fieldPosition="0">
        <references count="3">
          <reference field="4294967294" count="1" selected="0">
            <x v="0"/>
          </reference>
          <reference field="7" count="1" selected="0">
            <x v="35"/>
          </reference>
          <reference field="8" count="1" selected="0">
            <x v="15"/>
          </reference>
        </references>
      </pivotArea>
    </chartFormat>
    <chartFormat chart="43" format="38">
      <pivotArea type="data" outline="0" fieldPosition="0">
        <references count="3">
          <reference field="4294967294" count="1" selected="0">
            <x v="0"/>
          </reference>
          <reference field="7" count="1" selected="0">
            <x v="36"/>
          </reference>
          <reference field="8" count="1" selected="0">
            <x v="9"/>
          </reference>
        </references>
      </pivotArea>
    </chartFormat>
    <chartFormat chart="43" format="39">
      <pivotArea type="data" outline="0" fieldPosition="0">
        <references count="3">
          <reference field="4294967294" count="1" selected="0">
            <x v="0"/>
          </reference>
          <reference field="7" count="1" selected="0">
            <x v="37"/>
          </reference>
          <reference field="8" count="1" selected="0">
            <x v="4"/>
          </reference>
        </references>
      </pivotArea>
    </chartFormat>
    <chartFormat chart="43" format="40">
      <pivotArea type="data" outline="0" fieldPosition="0">
        <references count="3">
          <reference field="4294967294" count="1" selected="0">
            <x v="0"/>
          </reference>
          <reference field="7" count="1" selected="0">
            <x v="38"/>
          </reference>
          <reference field="8" count="1" selected="0">
            <x v="9"/>
          </reference>
        </references>
      </pivotArea>
    </chartFormat>
    <chartFormat chart="43" format="41">
      <pivotArea type="data" outline="0" fieldPosition="0">
        <references count="3">
          <reference field="4294967294" count="1" selected="0">
            <x v="0"/>
          </reference>
          <reference field="7" count="1" selected="0">
            <x v="39"/>
          </reference>
          <reference field="8" count="1" selected="0">
            <x v="15"/>
          </reference>
        </references>
      </pivotArea>
    </chartFormat>
    <chartFormat chart="43" format="42">
      <pivotArea type="data" outline="0" fieldPosition="0">
        <references count="3">
          <reference field="4294967294" count="1" selected="0">
            <x v="0"/>
          </reference>
          <reference field="7" count="1" selected="0">
            <x v="40"/>
          </reference>
          <reference field="8" count="1" selected="0">
            <x v="4"/>
          </reference>
        </references>
      </pivotArea>
    </chartFormat>
    <chartFormat chart="43" format="43">
      <pivotArea type="data" outline="0" fieldPosition="0">
        <references count="3">
          <reference field="4294967294" count="1" selected="0">
            <x v="0"/>
          </reference>
          <reference field="7" count="1" selected="0">
            <x v="41"/>
          </reference>
          <reference field="8" count="1" selected="0">
            <x v="1"/>
          </reference>
        </references>
      </pivotArea>
    </chartFormat>
    <chartFormat chart="43" format="44">
      <pivotArea type="data" outline="0" fieldPosition="0">
        <references count="3">
          <reference field="4294967294" count="1" selected="0">
            <x v="0"/>
          </reference>
          <reference field="7" count="1" selected="0">
            <x v="42"/>
          </reference>
          <reference field="8" count="1" selected="0">
            <x v="9"/>
          </reference>
        </references>
      </pivotArea>
    </chartFormat>
    <chartFormat chart="43" format="45">
      <pivotArea type="data" outline="0" fieldPosition="0">
        <references count="3">
          <reference field="4294967294" count="1" selected="0">
            <x v="0"/>
          </reference>
          <reference field="7" count="1" selected="0">
            <x v="43"/>
          </reference>
          <reference field="8" count="1" selected="0">
            <x v="4"/>
          </reference>
        </references>
      </pivotArea>
    </chartFormat>
    <chartFormat chart="43" format="46">
      <pivotArea type="data" outline="0" fieldPosition="0">
        <references count="3">
          <reference field="4294967294" count="1" selected="0">
            <x v="0"/>
          </reference>
          <reference field="7" count="1" selected="0">
            <x v="44"/>
          </reference>
          <reference field="8" count="1" selected="0">
            <x v="4"/>
          </reference>
        </references>
      </pivotArea>
    </chartFormat>
    <chartFormat chart="43" format="47">
      <pivotArea type="data" outline="0" fieldPosition="0">
        <references count="3">
          <reference field="4294967294" count="1" selected="0">
            <x v="0"/>
          </reference>
          <reference field="7" count="1" selected="0">
            <x v="45"/>
          </reference>
          <reference field="8" count="1" selected="0">
            <x v="6"/>
          </reference>
        </references>
      </pivotArea>
    </chartFormat>
    <chartFormat chart="43" format="48">
      <pivotArea type="data" outline="0" fieldPosition="0">
        <references count="3">
          <reference field="4294967294" count="1" selected="0">
            <x v="0"/>
          </reference>
          <reference field="7" count="1" selected="0">
            <x v="46"/>
          </reference>
          <reference field="8" count="1" selected="0">
            <x v="3"/>
          </reference>
        </references>
      </pivotArea>
    </chartFormat>
    <chartFormat chart="43" format="49">
      <pivotArea type="data" outline="0" fieldPosition="0">
        <references count="3">
          <reference field="4294967294" count="1" selected="0">
            <x v="0"/>
          </reference>
          <reference field="7" count="1" selected="0">
            <x v="47"/>
          </reference>
          <reference field="8" count="1" selected="0">
            <x v="3"/>
          </reference>
        </references>
      </pivotArea>
    </chartFormat>
    <chartFormat chart="43" format="50">
      <pivotArea type="data" outline="0" fieldPosition="0">
        <references count="3">
          <reference field="4294967294" count="1" selected="0">
            <x v="0"/>
          </reference>
          <reference field="7" count="1" selected="0">
            <x v="48"/>
          </reference>
          <reference field="8" count="1" selected="0">
            <x v="15"/>
          </reference>
        </references>
      </pivotArea>
    </chartFormat>
    <chartFormat chart="43" format="51">
      <pivotArea type="data" outline="0" fieldPosition="0">
        <references count="3">
          <reference field="4294967294" count="1" selected="0">
            <x v="0"/>
          </reference>
          <reference field="7" count="1" selected="0">
            <x v="49"/>
          </reference>
          <reference field="8" count="1" selected="0">
            <x v="0"/>
          </reference>
        </references>
      </pivotArea>
    </chartFormat>
    <chartFormat chart="43" format="52">
      <pivotArea type="data" outline="0" fieldPosition="0">
        <references count="3">
          <reference field="4294967294" count="1" selected="0">
            <x v="0"/>
          </reference>
          <reference field="7" count="1" selected="0">
            <x v="50"/>
          </reference>
          <reference field="8" count="1" selected="0">
            <x v="0"/>
          </reference>
        </references>
      </pivotArea>
    </chartFormat>
    <chartFormat chart="43" format="53">
      <pivotArea type="data" outline="0" fieldPosition="0">
        <references count="3">
          <reference field="4294967294" count="1" selected="0">
            <x v="0"/>
          </reference>
          <reference field="7" count="1" selected="0">
            <x v="50"/>
          </reference>
          <reference field="8"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754CE7C-2E72-4ECA-BC13-EB5CC04F1844}"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Methods Of Payment">
  <location ref="A33:D56" firstHeaderRow="0" firstDataRow="1" firstDataCol="1"/>
  <pivotFields count="18">
    <pivotField showAll="0"/>
    <pivotField numFmtId="15" showAll="0"/>
    <pivotField showAll="0"/>
    <pivotField showAll="0"/>
    <pivotField dataField="1" showAll="0"/>
    <pivotField numFmtId="165" showAll="0"/>
    <pivotField numFmtId="165" showAll="0"/>
    <pivotField showAll="0"/>
    <pivotField numFmtId="165" showAll="0"/>
    <pivotField numFmtId="165" showAll="0"/>
    <pivotField dataField="1" numFmtId="165" showAll="0"/>
    <pivotField dataField="1" numFmtId="165" showAll="0"/>
    <pivotField showAll="0"/>
    <pivotField showAll="0"/>
    <pivotField axis="axisRow" showAll="0">
      <items count="23">
        <item x="9"/>
        <item x="8"/>
        <item x="10"/>
        <item x="7"/>
        <item x="0"/>
        <item x="2"/>
        <item x="1"/>
        <item x="15"/>
        <item x="5"/>
        <item x="3"/>
        <item x="20"/>
        <item x="18"/>
        <item x="13"/>
        <item x="11"/>
        <item x="14"/>
        <item x="19"/>
        <item x="6"/>
        <item x="17"/>
        <item x="21"/>
        <item x="16"/>
        <item x="12"/>
        <item x="4"/>
        <item t="default"/>
      </items>
    </pivotField>
    <pivotField showAll="0"/>
    <pivotField showAll="0"/>
    <pivotField showAll="0"/>
  </pivotFields>
  <rowFields count="1">
    <field x="14"/>
  </rowFields>
  <rowItems count="23">
    <i>
      <x/>
    </i>
    <i>
      <x v="1"/>
    </i>
    <i>
      <x v="2"/>
    </i>
    <i>
      <x v="3"/>
    </i>
    <i>
      <x v="4"/>
    </i>
    <i>
      <x v="5"/>
    </i>
    <i>
      <x v="6"/>
    </i>
    <i>
      <x v="7"/>
    </i>
    <i>
      <x v="8"/>
    </i>
    <i>
      <x v="9"/>
    </i>
    <i>
      <x v="10"/>
    </i>
    <i>
      <x v="11"/>
    </i>
    <i>
      <x v="12"/>
    </i>
    <i>
      <x v="13"/>
    </i>
    <i>
      <x v="14"/>
    </i>
    <i>
      <x v="15"/>
    </i>
    <i>
      <x v="16"/>
    </i>
    <i>
      <x v="17"/>
    </i>
    <i>
      <x v="18"/>
    </i>
    <i>
      <x v="19"/>
    </i>
    <i>
      <x v="20"/>
    </i>
    <i>
      <x v="21"/>
    </i>
    <i t="grand">
      <x/>
    </i>
  </rowItems>
  <colFields count="1">
    <field x="-2"/>
  </colFields>
  <colItems count="3">
    <i>
      <x/>
    </i>
    <i i="1">
      <x v="1"/>
    </i>
    <i i="2">
      <x v="2"/>
    </i>
  </colItems>
  <dataFields count="3">
    <dataField name="Sum of Net Sales" fld="10" baseField="0" baseItem="0" numFmtId="165"/>
    <dataField name="Sum of Surplus" fld="11" baseField="0" baseItem="0" numFmtId="165"/>
    <dataField name="Count of Quantity" fld="4" subtotal="count" baseField="15" baseItem="0"/>
  </dataFields>
  <chartFormats count="72">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8" format="2" series="1">
      <pivotArea type="data" outline="0" fieldPosition="0">
        <references count="1">
          <reference field="4294967294" count="1" selected="0">
            <x v="2"/>
          </reference>
        </references>
      </pivotArea>
    </chartFormat>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0" format="2" series="1">
      <pivotArea type="data" outline="0" fieldPosition="0">
        <references count="1">
          <reference field="4294967294" count="1" selected="0">
            <x v="2"/>
          </reference>
        </references>
      </pivotArea>
    </chartFormat>
    <chartFormat chart="8" format="3">
      <pivotArea type="data" outline="0" fieldPosition="0">
        <references count="2">
          <reference field="4294967294" count="1" selected="0">
            <x v="0"/>
          </reference>
          <reference field="14" count="1" selected="0">
            <x v="0"/>
          </reference>
        </references>
      </pivotArea>
    </chartFormat>
    <chartFormat chart="8" format="4">
      <pivotArea type="data" outline="0" fieldPosition="0">
        <references count="2">
          <reference field="4294967294" count="1" selected="0">
            <x v="0"/>
          </reference>
          <reference field="14" count="1" selected="0">
            <x v="1"/>
          </reference>
        </references>
      </pivotArea>
    </chartFormat>
    <chartFormat chart="8" format="5">
      <pivotArea type="data" outline="0" fieldPosition="0">
        <references count="2">
          <reference field="4294967294" count="1" selected="0">
            <x v="0"/>
          </reference>
          <reference field="14" count="1" selected="0">
            <x v="2"/>
          </reference>
        </references>
      </pivotArea>
    </chartFormat>
    <chartFormat chart="8" format="6">
      <pivotArea type="data" outline="0" fieldPosition="0">
        <references count="2">
          <reference field="4294967294" count="1" selected="0">
            <x v="0"/>
          </reference>
          <reference field="14" count="1" selected="0">
            <x v="3"/>
          </reference>
        </references>
      </pivotArea>
    </chartFormat>
    <chartFormat chart="8" format="7">
      <pivotArea type="data" outline="0" fieldPosition="0">
        <references count="2">
          <reference field="4294967294" count="1" selected="0">
            <x v="0"/>
          </reference>
          <reference field="14" count="1" selected="0">
            <x v="4"/>
          </reference>
        </references>
      </pivotArea>
    </chartFormat>
    <chartFormat chart="8" format="8">
      <pivotArea type="data" outline="0" fieldPosition="0">
        <references count="2">
          <reference field="4294967294" count="1" selected="0">
            <x v="0"/>
          </reference>
          <reference field="14" count="1" selected="0">
            <x v="5"/>
          </reference>
        </references>
      </pivotArea>
    </chartFormat>
    <chartFormat chart="8" format="9">
      <pivotArea type="data" outline="0" fieldPosition="0">
        <references count="2">
          <reference field="4294967294" count="1" selected="0">
            <x v="0"/>
          </reference>
          <reference field="14" count="1" selected="0">
            <x v="6"/>
          </reference>
        </references>
      </pivotArea>
    </chartFormat>
    <chartFormat chart="8" format="10">
      <pivotArea type="data" outline="0" fieldPosition="0">
        <references count="2">
          <reference field="4294967294" count="1" selected="0">
            <x v="0"/>
          </reference>
          <reference field="14" count="1" selected="0">
            <x v="7"/>
          </reference>
        </references>
      </pivotArea>
    </chartFormat>
    <chartFormat chart="8" format="11">
      <pivotArea type="data" outline="0" fieldPosition="0">
        <references count="2">
          <reference field="4294967294" count="1" selected="0">
            <x v="0"/>
          </reference>
          <reference field="14" count="1" selected="0">
            <x v="8"/>
          </reference>
        </references>
      </pivotArea>
    </chartFormat>
    <chartFormat chart="8" format="12">
      <pivotArea type="data" outline="0" fieldPosition="0">
        <references count="2">
          <reference field="4294967294" count="1" selected="0">
            <x v="0"/>
          </reference>
          <reference field="14" count="1" selected="0">
            <x v="9"/>
          </reference>
        </references>
      </pivotArea>
    </chartFormat>
    <chartFormat chart="8" format="13">
      <pivotArea type="data" outline="0" fieldPosition="0">
        <references count="2">
          <reference field="4294967294" count="1" selected="0">
            <x v="0"/>
          </reference>
          <reference field="14" count="1" selected="0">
            <x v="10"/>
          </reference>
        </references>
      </pivotArea>
    </chartFormat>
    <chartFormat chart="8" format="14">
      <pivotArea type="data" outline="0" fieldPosition="0">
        <references count="2">
          <reference field="4294967294" count="1" selected="0">
            <x v="0"/>
          </reference>
          <reference field="14" count="1" selected="0">
            <x v="11"/>
          </reference>
        </references>
      </pivotArea>
    </chartFormat>
    <chartFormat chart="8" format="15">
      <pivotArea type="data" outline="0" fieldPosition="0">
        <references count="2">
          <reference field="4294967294" count="1" selected="0">
            <x v="0"/>
          </reference>
          <reference field="14" count="1" selected="0">
            <x v="12"/>
          </reference>
        </references>
      </pivotArea>
    </chartFormat>
    <chartFormat chart="8" format="16">
      <pivotArea type="data" outline="0" fieldPosition="0">
        <references count="2">
          <reference field="4294967294" count="1" selected="0">
            <x v="0"/>
          </reference>
          <reference field="14" count="1" selected="0">
            <x v="13"/>
          </reference>
        </references>
      </pivotArea>
    </chartFormat>
    <chartFormat chart="8" format="17">
      <pivotArea type="data" outline="0" fieldPosition="0">
        <references count="2">
          <reference field="4294967294" count="1" selected="0">
            <x v="0"/>
          </reference>
          <reference field="14" count="1" selected="0">
            <x v="14"/>
          </reference>
        </references>
      </pivotArea>
    </chartFormat>
    <chartFormat chart="8" format="18">
      <pivotArea type="data" outline="0" fieldPosition="0">
        <references count="2">
          <reference field="4294967294" count="1" selected="0">
            <x v="0"/>
          </reference>
          <reference field="14" count="1" selected="0">
            <x v="15"/>
          </reference>
        </references>
      </pivotArea>
    </chartFormat>
    <chartFormat chart="8" format="19">
      <pivotArea type="data" outline="0" fieldPosition="0">
        <references count="2">
          <reference field="4294967294" count="1" selected="0">
            <x v="0"/>
          </reference>
          <reference field="14" count="1" selected="0">
            <x v="16"/>
          </reference>
        </references>
      </pivotArea>
    </chartFormat>
    <chartFormat chart="8" format="20">
      <pivotArea type="data" outline="0" fieldPosition="0">
        <references count="2">
          <reference field="4294967294" count="1" selected="0">
            <x v="0"/>
          </reference>
          <reference field="14" count="1" selected="0">
            <x v="17"/>
          </reference>
        </references>
      </pivotArea>
    </chartFormat>
    <chartFormat chart="8" format="21">
      <pivotArea type="data" outline="0" fieldPosition="0">
        <references count="2">
          <reference field="4294967294" count="1" selected="0">
            <x v="0"/>
          </reference>
          <reference field="14" count="1" selected="0">
            <x v="18"/>
          </reference>
        </references>
      </pivotArea>
    </chartFormat>
    <chartFormat chart="8" format="22">
      <pivotArea type="data" outline="0" fieldPosition="0">
        <references count="2">
          <reference field="4294967294" count="1" selected="0">
            <x v="0"/>
          </reference>
          <reference field="14" count="1" selected="0">
            <x v="19"/>
          </reference>
        </references>
      </pivotArea>
    </chartFormat>
    <chartFormat chart="8" format="23">
      <pivotArea type="data" outline="0" fieldPosition="0">
        <references count="2">
          <reference field="4294967294" count="1" selected="0">
            <x v="0"/>
          </reference>
          <reference field="14" count="1" selected="0">
            <x v="20"/>
          </reference>
        </references>
      </pivotArea>
    </chartFormat>
    <chartFormat chart="8" format="24">
      <pivotArea type="data" outline="0" fieldPosition="0">
        <references count="2">
          <reference field="4294967294" count="1" selected="0">
            <x v="0"/>
          </reference>
          <reference field="14" count="1" selected="0">
            <x v="21"/>
          </reference>
        </references>
      </pivotArea>
    </chartFormat>
    <chartFormat chart="8" format="25">
      <pivotArea type="data" outline="0" fieldPosition="0">
        <references count="2">
          <reference field="4294967294" count="1" selected="0">
            <x v="1"/>
          </reference>
          <reference field="14" count="1" selected="0">
            <x v="0"/>
          </reference>
        </references>
      </pivotArea>
    </chartFormat>
    <chartFormat chart="8" format="26">
      <pivotArea type="data" outline="0" fieldPosition="0">
        <references count="2">
          <reference field="4294967294" count="1" selected="0">
            <x v="1"/>
          </reference>
          <reference field="14" count="1" selected="0">
            <x v="1"/>
          </reference>
        </references>
      </pivotArea>
    </chartFormat>
    <chartFormat chart="8" format="27">
      <pivotArea type="data" outline="0" fieldPosition="0">
        <references count="2">
          <reference field="4294967294" count="1" selected="0">
            <x v="1"/>
          </reference>
          <reference field="14" count="1" selected="0">
            <x v="2"/>
          </reference>
        </references>
      </pivotArea>
    </chartFormat>
    <chartFormat chart="8" format="28">
      <pivotArea type="data" outline="0" fieldPosition="0">
        <references count="2">
          <reference field="4294967294" count="1" selected="0">
            <x v="1"/>
          </reference>
          <reference field="14" count="1" selected="0">
            <x v="3"/>
          </reference>
        </references>
      </pivotArea>
    </chartFormat>
    <chartFormat chart="8" format="29">
      <pivotArea type="data" outline="0" fieldPosition="0">
        <references count="2">
          <reference field="4294967294" count="1" selected="0">
            <x v="1"/>
          </reference>
          <reference field="14" count="1" selected="0">
            <x v="4"/>
          </reference>
        </references>
      </pivotArea>
    </chartFormat>
    <chartFormat chart="8" format="30">
      <pivotArea type="data" outline="0" fieldPosition="0">
        <references count="2">
          <reference field="4294967294" count="1" selected="0">
            <x v="1"/>
          </reference>
          <reference field="14" count="1" selected="0">
            <x v="5"/>
          </reference>
        </references>
      </pivotArea>
    </chartFormat>
    <chartFormat chart="8" format="31">
      <pivotArea type="data" outline="0" fieldPosition="0">
        <references count="2">
          <reference field="4294967294" count="1" selected="0">
            <x v="1"/>
          </reference>
          <reference field="14" count="1" selected="0">
            <x v="6"/>
          </reference>
        </references>
      </pivotArea>
    </chartFormat>
    <chartFormat chart="8" format="32">
      <pivotArea type="data" outline="0" fieldPosition="0">
        <references count="2">
          <reference field="4294967294" count="1" selected="0">
            <x v="1"/>
          </reference>
          <reference field="14" count="1" selected="0">
            <x v="7"/>
          </reference>
        </references>
      </pivotArea>
    </chartFormat>
    <chartFormat chart="8" format="33">
      <pivotArea type="data" outline="0" fieldPosition="0">
        <references count="2">
          <reference field="4294967294" count="1" selected="0">
            <x v="1"/>
          </reference>
          <reference field="14" count="1" selected="0">
            <x v="8"/>
          </reference>
        </references>
      </pivotArea>
    </chartFormat>
    <chartFormat chart="8" format="34">
      <pivotArea type="data" outline="0" fieldPosition="0">
        <references count="2">
          <reference field="4294967294" count="1" selected="0">
            <x v="1"/>
          </reference>
          <reference field="14" count="1" selected="0">
            <x v="9"/>
          </reference>
        </references>
      </pivotArea>
    </chartFormat>
    <chartFormat chart="8" format="35">
      <pivotArea type="data" outline="0" fieldPosition="0">
        <references count="2">
          <reference field="4294967294" count="1" selected="0">
            <x v="1"/>
          </reference>
          <reference field="14" count="1" selected="0">
            <x v="10"/>
          </reference>
        </references>
      </pivotArea>
    </chartFormat>
    <chartFormat chart="8" format="36">
      <pivotArea type="data" outline="0" fieldPosition="0">
        <references count="2">
          <reference field="4294967294" count="1" selected="0">
            <x v="1"/>
          </reference>
          <reference field="14" count="1" selected="0">
            <x v="11"/>
          </reference>
        </references>
      </pivotArea>
    </chartFormat>
    <chartFormat chart="8" format="37">
      <pivotArea type="data" outline="0" fieldPosition="0">
        <references count="2">
          <reference field="4294967294" count="1" selected="0">
            <x v="1"/>
          </reference>
          <reference field="14" count="1" selected="0">
            <x v="12"/>
          </reference>
        </references>
      </pivotArea>
    </chartFormat>
    <chartFormat chart="8" format="38">
      <pivotArea type="data" outline="0" fieldPosition="0">
        <references count="2">
          <reference field="4294967294" count="1" selected="0">
            <x v="1"/>
          </reference>
          <reference field="14" count="1" selected="0">
            <x v="13"/>
          </reference>
        </references>
      </pivotArea>
    </chartFormat>
    <chartFormat chart="8" format="39">
      <pivotArea type="data" outline="0" fieldPosition="0">
        <references count="2">
          <reference field="4294967294" count="1" selected="0">
            <x v="1"/>
          </reference>
          <reference field="14" count="1" selected="0">
            <x v="14"/>
          </reference>
        </references>
      </pivotArea>
    </chartFormat>
    <chartFormat chart="8" format="40">
      <pivotArea type="data" outline="0" fieldPosition="0">
        <references count="2">
          <reference field="4294967294" count="1" selected="0">
            <x v="1"/>
          </reference>
          <reference field="14" count="1" selected="0">
            <x v="15"/>
          </reference>
        </references>
      </pivotArea>
    </chartFormat>
    <chartFormat chart="8" format="41">
      <pivotArea type="data" outline="0" fieldPosition="0">
        <references count="2">
          <reference field="4294967294" count="1" selected="0">
            <x v="1"/>
          </reference>
          <reference field="14" count="1" selected="0">
            <x v="16"/>
          </reference>
        </references>
      </pivotArea>
    </chartFormat>
    <chartFormat chart="8" format="42">
      <pivotArea type="data" outline="0" fieldPosition="0">
        <references count="2">
          <reference field="4294967294" count="1" selected="0">
            <x v="1"/>
          </reference>
          <reference field="14" count="1" selected="0">
            <x v="17"/>
          </reference>
        </references>
      </pivotArea>
    </chartFormat>
    <chartFormat chart="8" format="43">
      <pivotArea type="data" outline="0" fieldPosition="0">
        <references count="2">
          <reference field="4294967294" count="1" selected="0">
            <x v="1"/>
          </reference>
          <reference field="14" count="1" selected="0">
            <x v="18"/>
          </reference>
        </references>
      </pivotArea>
    </chartFormat>
    <chartFormat chart="8" format="44">
      <pivotArea type="data" outline="0" fieldPosition="0">
        <references count="2">
          <reference field="4294967294" count="1" selected="0">
            <x v="1"/>
          </reference>
          <reference field="14" count="1" selected="0">
            <x v="19"/>
          </reference>
        </references>
      </pivotArea>
    </chartFormat>
    <chartFormat chart="8" format="45">
      <pivotArea type="data" outline="0" fieldPosition="0">
        <references count="2">
          <reference field="4294967294" count="1" selected="0">
            <x v="1"/>
          </reference>
          <reference field="14" count="1" selected="0">
            <x v="20"/>
          </reference>
        </references>
      </pivotArea>
    </chartFormat>
    <chartFormat chart="8" format="46">
      <pivotArea type="data" outline="0" fieldPosition="0">
        <references count="2">
          <reference field="4294967294" count="1" selected="0">
            <x v="1"/>
          </reference>
          <reference field="14" count="1" selected="0">
            <x v="21"/>
          </reference>
        </references>
      </pivotArea>
    </chartFormat>
    <chartFormat chart="8" format="47">
      <pivotArea type="data" outline="0" fieldPosition="0">
        <references count="2">
          <reference field="4294967294" count="1" selected="0">
            <x v="2"/>
          </reference>
          <reference field="14" count="1" selected="0">
            <x v="0"/>
          </reference>
        </references>
      </pivotArea>
    </chartFormat>
    <chartFormat chart="8" format="48">
      <pivotArea type="data" outline="0" fieldPosition="0">
        <references count="2">
          <reference field="4294967294" count="1" selected="0">
            <x v="2"/>
          </reference>
          <reference field="14" count="1" selected="0">
            <x v="1"/>
          </reference>
        </references>
      </pivotArea>
    </chartFormat>
    <chartFormat chart="8" format="49">
      <pivotArea type="data" outline="0" fieldPosition="0">
        <references count="2">
          <reference field="4294967294" count="1" selected="0">
            <x v="2"/>
          </reference>
          <reference field="14" count="1" selected="0">
            <x v="2"/>
          </reference>
        </references>
      </pivotArea>
    </chartFormat>
    <chartFormat chart="8" format="50">
      <pivotArea type="data" outline="0" fieldPosition="0">
        <references count="2">
          <reference field="4294967294" count="1" selected="0">
            <x v="2"/>
          </reference>
          <reference field="14" count="1" selected="0">
            <x v="3"/>
          </reference>
        </references>
      </pivotArea>
    </chartFormat>
    <chartFormat chart="8" format="51">
      <pivotArea type="data" outline="0" fieldPosition="0">
        <references count="2">
          <reference field="4294967294" count="1" selected="0">
            <x v="2"/>
          </reference>
          <reference field="14" count="1" selected="0">
            <x v="4"/>
          </reference>
        </references>
      </pivotArea>
    </chartFormat>
    <chartFormat chart="8" format="52">
      <pivotArea type="data" outline="0" fieldPosition="0">
        <references count="2">
          <reference field="4294967294" count="1" selected="0">
            <x v="2"/>
          </reference>
          <reference field="14" count="1" selected="0">
            <x v="5"/>
          </reference>
        </references>
      </pivotArea>
    </chartFormat>
    <chartFormat chart="8" format="53">
      <pivotArea type="data" outline="0" fieldPosition="0">
        <references count="2">
          <reference field="4294967294" count="1" selected="0">
            <x v="2"/>
          </reference>
          <reference field="14" count="1" selected="0">
            <x v="6"/>
          </reference>
        </references>
      </pivotArea>
    </chartFormat>
    <chartFormat chart="8" format="54">
      <pivotArea type="data" outline="0" fieldPosition="0">
        <references count="2">
          <reference field="4294967294" count="1" selected="0">
            <x v="2"/>
          </reference>
          <reference field="14" count="1" selected="0">
            <x v="7"/>
          </reference>
        </references>
      </pivotArea>
    </chartFormat>
    <chartFormat chart="8" format="55">
      <pivotArea type="data" outline="0" fieldPosition="0">
        <references count="2">
          <reference field="4294967294" count="1" selected="0">
            <x v="2"/>
          </reference>
          <reference field="14" count="1" selected="0">
            <x v="8"/>
          </reference>
        </references>
      </pivotArea>
    </chartFormat>
    <chartFormat chart="8" format="56">
      <pivotArea type="data" outline="0" fieldPosition="0">
        <references count="2">
          <reference field="4294967294" count="1" selected="0">
            <x v="2"/>
          </reference>
          <reference field="14" count="1" selected="0">
            <x v="9"/>
          </reference>
        </references>
      </pivotArea>
    </chartFormat>
    <chartFormat chart="8" format="57">
      <pivotArea type="data" outline="0" fieldPosition="0">
        <references count="2">
          <reference field="4294967294" count="1" selected="0">
            <x v="2"/>
          </reference>
          <reference field="14" count="1" selected="0">
            <x v="10"/>
          </reference>
        </references>
      </pivotArea>
    </chartFormat>
    <chartFormat chart="8" format="58">
      <pivotArea type="data" outline="0" fieldPosition="0">
        <references count="2">
          <reference field="4294967294" count="1" selected="0">
            <x v="2"/>
          </reference>
          <reference field="14" count="1" selected="0">
            <x v="11"/>
          </reference>
        </references>
      </pivotArea>
    </chartFormat>
    <chartFormat chart="8" format="59">
      <pivotArea type="data" outline="0" fieldPosition="0">
        <references count="2">
          <reference field="4294967294" count="1" selected="0">
            <x v="2"/>
          </reference>
          <reference field="14" count="1" selected="0">
            <x v="12"/>
          </reference>
        </references>
      </pivotArea>
    </chartFormat>
    <chartFormat chart="8" format="60">
      <pivotArea type="data" outline="0" fieldPosition="0">
        <references count="2">
          <reference field="4294967294" count="1" selected="0">
            <x v="2"/>
          </reference>
          <reference field="14" count="1" selected="0">
            <x v="13"/>
          </reference>
        </references>
      </pivotArea>
    </chartFormat>
    <chartFormat chart="8" format="61">
      <pivotArea type="data" outline="0" fieldPosition="0">
        <references count="2">
          <reference field="4294967294" count="1" selected="0">
            <x v="2"/>
          </reference>
          <reference field="14" count="1" selected="0">
            <x v="14"/>
          </reference>
        </references>
      </pivotArea>
    </chartFormat>
    <chartFormat chart="8" format="62">
      <pivotArea type="data" outline="0" fieldPosition="0">
        <references count="2">
          <reference field="4294967294" count="1" selected="0">
            <x v="2"/>
          </reference>
          <reference field="14" count="1" selected="0">
            <x v="15"/>
          </reference>
        </references>
      </pivotArea>
    </chartFormat>
    <chartFormat chart="8" format="63">
      <pivotArea type="data" outline="0" fieldPosition="0">
        <references count="2">
          <reference field="4294967294" count="1" selected="0">
            <x v="2"/>
          </reference>
          <reference field="14" count="1" selected="0">
            <x v="16"/>
          </reference>
        </references>
      </pivotArea>
    </chartFormat>
    <chartFormat chart="8" format="64">
      <pivotArea type="data" outline="0" fieldPosition="0">
        <references count="2">
          <reference field="4294967294" count="1" selected="0">
            <x v="2"/>
          </reference>
          <reference field="14" count="1" selected="0">
            <x v="17"/>
          </reference>
        </references>
      </pivotArea>
    </chartFormat>
    <chartFormat chart="8" format="65">
      <pivotArea type="data" outline="0" fieldPosition="0">
        <references count="2">
          <reference field="4294967294" count="1" selected="0">
            <x v="2"/>
          </reference>
          <reference field="14" count="1" selected="0">
            <x v="18"/>
          </reference>
        </references>
      </pivotArea>
    </chartFormat>
    <chartFormat chart="8" format="66">
      <pivotArea type="data" outline="0" fieldPosition="0">
        <references count="2">
          <reference field="4294967294" count="1" selected="0">
            <x v="2"/>
          </reference>
          <reference field="14" count="1" selected="0">
            <x v="19"/>
          </reference>
        </references>
      </pivotArea>
    </chartFormat>
    <chartFormat chart="8" format="67">
      <pivotArea type="data" outline="0" fieldPosition="0">
        <references count="2">
          <reference field="4294967294" count="1" selected="0">
            <x v="2"/>
          </reference>
          <reference field="14" count="1" selected="0">
            <x v="20"/>
          </reference>
        </references>
      </pivotArea>
    </chartFormat>
    <chartFormat chart="8" format="68">
      <pivotArea type="data" outline="0" fieldPosition="0">
        <references count="2">
          <reference field="4294967294" count="1" selected="0">
            <x v="2"/>
          </reference>
          <reference field="14" count="1" selected="0">
            <x v="2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_Of_Products" xr10:uid="{4DFED704-2323-47C8-AEE9-EEB7C0EC83DC}" sourceName="Type Of Products">
  <pivotTables>
    <pivotTable tabId="28" name="PivotTable6"/>
  </pivotTables>
  <data>
    <tabular pivotCacheId="1084187925">
      <items count="23">
        <i x="9" s="1"/>
        <i x="8" s="1"/>
        <i x="10" s="1"/>
        <i x="7" s="1"/>
        <i x="0" s="1"/>
        <i x="1" s="1"/>
        <i x="5" s="1"/>
        <i x="3" s="1"/>
        <i x="20" s="1"/>
        <i x="18" s="1"/>
        <i x="13" s="1"/>
        <i x="11" s="1"/>
        <i x="19" s="1"/>
        <i x="6" s="1"/>
        <i x="12" s="1"/>
        <i x="2" s="1" nd="1"/>
        <i x="15" s="1" nd="1"/>
        <i x="14" s="1" nd="1"/>
        <i x="17" s="1" nd="1"/>
        <i x="22" s="1" nd="1"/>
        <i x="21" s="1" nd="1"/>
        <i x="16" s="1" nd="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09C12860-1649-4891-B3DB-1CA0243621AE}" sourceName="Payment_Mode">
  <pivotTables>
    <pivotTable tabId="28" name="PivotTable6"/>
  </pivotTables>
  <data>
    <tabular pivotCacheId="1084187925">
      <items count="6">
        <i x="3" s="1"/>
        <i x="2" s="1"/>
        <i x="0" s="1"/>
        <i x="4" s="1"/>
        <i x="5"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D42C6030-E528-44C5-BD2C-8EF566998AA7}" sourceName="Order_status">
  <pivotTables>
    <pivotTable tabId="28" name="PivotTable6"/>
  </pivotTables>
  <data>
    <tabular pivotCacheId="1084187925">
      <items count="2">
        <i x="0"/>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Cateogry" xr10:uid="{9A564DC4-0F5B-459F-8EE7-1F9E821D7E09}" sourceName="Order Cateogry">
  <pivotTables>
    <pivotTable tabId="27" name="PivotTable3"/>
  </pivotTables>
  <data>
    <tabular pivotCacheId="22070977">
      <items count="6">
        <i x="4" s="1"/>
        <i x="2" s="1"/>
        <i x="1" s="1"/>
        <i x="0" s="1"/>
        <i x="3" s="1"/>
        <i x="5"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1" xr10:uid="{AE201673-ACE0-444D-80BC-A0144337259D}" sourceName="Order_status">
  <pivotTables>
    <pivotTable tabId="27" name="PivotTable3"/>
  </pivotTables>
  <data>
    <tabular pivotCacheId="22070977">
      <items count="2">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_Of_Products1" xr10:uid="{E36A9FFF-BA59-4521-8CFF-3C6D436D4CCB}" sourceName="Type Of Products">
  <pivotTables>
    <pivotTable tabId="23" name="PivotTable3"/>
  </pivotTables>
  <data>
    <tabular pivotCacheId="1149308864">
      <items count="23">
        <i x="9" s="1"/>
        <i x="8" s="1"/>
        <i x="10" s="1"/>
        <i x="7" s="1"/>
        <i x="0" s="1"/>
        <i x="2" s="1"/>
        <i x="1" s="1"/>
        <i x="15" s="1"/>
        <i x="5" s="1"/>
        <i x="3" s="1"/>
        <i x="20" s="1"/>
        <i x="18" s="1"/>
        <i x="13" s="1"/>
        <i x="11" s="1"/>
        <i x="14" s="1"/>
        <i x="19" s="1"/>
        <i x="6" s="1"/>
        <i x="17" s="1"/>
        <i x="21" s="1"/>
        <i x="16" s="1"/>
        <i x="12" s="1"/>
        <i x="4" s="1"/>
        <i x="22" s="1"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_Of_Products2" xr10:uid="{600517B4-2C63-4E87-8AC1-B6B8DD21FB5E}" sourceName="Type Of Products">
  <pivotTables>
    <pivotTable tabId="32" name="PivotTable3"/>
  </pivotTables>
  <data>
    <tabular pivotCacheId="1225690004">
      <items count="23">
        <i x="9" s="1"/>
        <i x="8" s="1"/>
        <i x="10" s="1"/>
        <i x="7" s="1"/>
        <i x="0" s="1"/>
        <i x="2" s="1"/>
        <i x="1" s="1"/>
        <i x="15" s="1"/>
        <i x="5" s="1"/>
        <i x="3" s="1"/>
        <i x="20" s="1"/>
        <i x="18" s="1"/>
        <i x="13" s="1"/>
        <i x="11" s="1"/>
        <i x="14" s="1"/>
        <i x="19" s="1"/>
        <i x="6" s="1"/>
        <i x="17" s="1"/>
        <i x="21" s="1"/>
        <i x="16" s="1"/>
        <i x="12" s="1"/>
        <i x="4" s="1"/>
        <i x="22" s="1"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_Of_Products3" xr10:uid="{F557D1C6-D97A-429C-9269-131D7D54CBDE}" sourceName="Type Of Products">
  <pivotTables>
    <pivotTable tabId="33" name="PivotTable6"/>
  </pivotTables>
  <data>
    <tabular pivotCacheId="1006895760">
      <items count="23">
        <i x="9" s="1"/>
        <i x="8" s="1"/>
        <i x="10" s="1"/>
        <i x="7" s="1"/>
        <i x="0" s="1"/>
        <i x="2" s="1"/>
        <i x="1" s="1"/>
        <i x="15" s="1"/>
        <i x="5" s="1"/>
        <i x="3" s="1"/>
        <i x="20" s="1"/>
        <i x="18" s="1"/>
        <i x="13" s="1"/>
        <i x="11" s="1"/>
        <i x="14" s="1"/>
        <i x="19" s="1"/>
        <i x="6" s="1"/>
        <i x="17" s="1"/>
        <i x="21" s="1"/>
        <i x="16" s="1"/>
        <i x="12" s="1"/>
        <i x="4" s="1"/>
        <i x="2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Cateogry" xr10:uid="{A08E8206-D06D-4EBC-8853-B9F2D874EC1D}" cache="Slicer_Order_Cateogry" caption="Order Cateogry" rowHeight="241300"/>
  <slicer name="Order_status 1" xr10:uid="{6A0696AC-BF5D-4C02-9590-3D8B1BBC52D4}" cache="Slicer_Order_status1" caption="Order_statu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Of Products" xr10:uid="{55CF942B-46AE-4C5F-BBF0-D4AECE927F4B}" cache="Slicer_Type_Of_Products" caption="Type Of Products" rowHeight="241300"/>
  <slicer name="Payment_Mode" xr10:uid="{276C82A9-4CD9-423C-A0D7-4665CE8BF57D}" cache="Slicer_Payment_Mode" caption="Payment_Mode" rowHeight="241300"/>
  <slicer name="Order_status" xr10:uid="{C763C86F-00D1-4134-A630-558F95A0B441}" cache="Slicer_Order_status" caption="Order_status"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Of Products 1" xr10:uid="{59ECFD01-5AFE-4954-A62F-1919D0BE4789}" cache="Slicer_Type_Of_Products1" caption="Type Of Products" rowHeight="241300"/>
  <slicer name="Type Of Products 2" xr10:uid="{8CF56113-655C-46C5-B38C-BDDA0B2A5E22}" cache="Slicer_Type_Of_Products2" caption="Type Of Products" rowHeight="241300"/>
  <slicer name="Type Of Products 3" xr10:uid="{DA5312FA-E718-441A-B295-EA264E34DE52}" cache="Slicer_Type_Of_Products3" caption="Type Of Product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0C1B64A-784E-4E3C-9B98-B9A795FD40BF}" name="Table1" displayName="Table1" ref="A3:R204" totalsRowCount="1">
  <autoFilter ref="A3:R203" xr:uid="{E0C1B64A-784E-4E3C-9B98-B9A795FD40BF}"/>
  <tableColumns count="18">
    <tableColumn id="1" xr3:uid="{06B3934A-DE41-44C2-B7B7-8F341FCB9952}" name="Order ID"/>
    <tableColumn id="2" xr3:uid="{425E0831-9E33-418B-85F2-2FE6F15DAF81}" name="Order_Date" dataDxfId="30" totalsRowDxfId="29"/>
    <tableColumn id="3" xr3:uid="{7E50D30B-D8EA-41AF-9265-3BD49DC02562}" name="Customer ID"/>
    <tableColumn id="4" xr3:uid="{25D6C56B-F4C8-4236-AE72-3BF80BDC6412}" name="Product ID"/>
    <tableColumn id="5" xr3:uid="{69E9B54A-E865-4D5C-9EE1-12DCA0189D0D}" name="Quantity" totalsRowFunction="custom">
      <totalsRowFormula>SUM(E4:E203)</totalsRowFormula>
    </tableColumn>
    <tableColumn id="6" xr3:uid="{1673F227-057C-470C-8162-C59FBA969334}" name="Unit_Price" totalsRowFunction="custom" dataDxfId="28" totalsRowDxfId="27">
      <totalsRowFormula>SUM(F4:F203)</totalsRowFormula>
    </tableColumn>
    <tableColumn id="7" xr3:uid="{656D2752-ADD2-4CC3-8B42-F3529E3D5F69}" name="Gross_Sales" totalsRowFunction="custom" dataDxfId="26" totalsRowDxfId="25">
      <calculatedColumnFormula>E4*F4</calculatedColumnFormula>
      <totalsRowFormula>SUM(G4:G203)</totalsRowFormula>
    </tableColumn>
    <tableColumn id="8" xr3:uid="{A0950626-B1F7-49B7-83B9-7815F75C8BCC}" name="Discount" dataDxfId="24" totalsRowDxfId="23"/>
    <tableColumn id="9" xr3:uid="{8E1E592B-E3C3-482B-BB2C-8522FDB6A797}" name="Discount_Amount" totalsRowFunction="custom" dataDxfId="22" totalsRowDxfId="21">
      <calculatedColumnFormula>G4*H4</calculatedColumnFormula>
      <totalsRowFormula>SUM(I4:I203)</totalsRowFormula>
    </tableColumn>
    <tableColumn id="10" xr3:uid="{7B00BEBF-1FCA-4E03-B2D2-567AEBC2567B}" name="Delivery_Charges" totalsRowFunction="custom" dataDxfId="20" totalsRowDxfId="19">
      <calculatedColumnFormula>G4*0.4</calculatedColumnFormula>
      <totalsRowFormula>SUM(J4:J203)</totalsRowFormula>
    </tableColumn>
    <tableColumn id="11" xr3:uid="{2007C022-EC9D-48DD-A77E-68D9C4BED372}" name="Net Sales" totalsRowFunction="custom" dataDxfId="18" totalsRowDxfId="17">
      <calculatedColumnFormula>G4+J4-I4</calculatedColumnFormula>
      <totalsRowFormula>SUM(K4:K203)</totalsRowFormula>
    </tableColumn>
    <tableColumn id="12" xr3:uid="{F3CD572B-E9E6-48B7-B1E9-F123FB35F72C}" name="Surplus" dataDxfId="16" totalsRowDxfId="15">
      <calculatedColumnFormula>K4-G4</calculatedColumnFormula>
    </tableColumn>
    <tableColumn id="13" xr3:uid="{93C982A9-3716-4EFD-802C-48CC88FC358C}" name="Customer_Name" dataDxfId="14" totalsRowDxfId="13">
      <calculatedColumnFormula array="1">_xlfn.XLOOKUP(Orders!C4,Customers!A5:A204,Customers!G5:'Customers'!G204,"Not Found")</calculatedColumnFormula>
    </tableColumn>
    <tableColumn id="14" xr3:uid="{238A77C8-6770-45F1-B564-1722056EC0B6}" name="Order Cateogry" dataDxfId="12" totalsRowDxfId="11">
      <calculatedColumnFormula>IF(K4&lt;5000,"Micro",IF(K4&lt;10000,"Small",IF(K4&lt;=30000,"Medium",IF(K4&lt;=100000,"Large",IF(K4&lt;=125000,"Industrial","Wholesale")))))</calculatedColumnFormula>
    </tableColumn>
    <tableColumn id="17" xr3:uid="{1B27D272-E95B-4672-8A33-6176EF8A6FAA}" name="Type Of Products" dataDxfId="10" totalsRowDxfId="9"/>
    <tableColumn id="18" xr3:uid="{7B079103-C1DB-4D58-A426-692ED2CCF37C}" name="City" totalsRowDxfId="8"/>
    <tableColumn id="15" xr3:uid="{F71B99BA-619B-4F54-A8D7-66594ECCFF81}" name="Payment_Mode"/>
    <tableColumn id="16" xr3:uid="{31258923-946D-4CD0-ACB4-14FD81CC7F8B}" name="Order_statu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A19AC57-BF9A-4A54-91A2-CDBBC0042893}" name="Table2" displayName="Table2" ref="E211:L212" totalsRowShown="0">
  <autoFilter ref="E211:L212" xr:uid="{4A19AC57-BF9A-4A54-91A2-CDBBC0042893}"/>
  <tableColumns count="8">
    <tableColumn id="1" xr3:uid="{A2D3F0C5-C77A-4671-9C16-08BC82C06375}" name="Column1"/>
    <tableColumn id="2" xr3:uid="{E3D43692-EF23-43B7-9D42-370575194E8C}" name="Pending Orders">
      <calculatedColumnFormula>COUNTIF(R4:R203, "pending")</calculatedColumnFormula>
    </tableColumn>
    <tableColumn id="3" xr3:uid="{D4C6F9B9-9207-4513-8AAB-17D845175738}" name="Delivered Orders">
      <calculatedColumnFormula>COUNTIF(R4:R203,"delivered")</calculatedColumnFormula>
    </tableColumn>
    <tableColumn id="4" xr3:uid="{43570E72-D720-40C7-B082-E980B15494DB}" name="EMI">
      <calculatedColumnFormula>COUNTIF(Q4:Q203, "EMI ")</calculatedColumnFormula>
    </tableColumn>
    <tableColumn id="5" xr3:uid="{D8893C92-905D-4B5B-8AAC-E03C4C29C9BC}" name="No cost EMI">
      <calculatedColumnFormula>COUNTIF(Q4:Q203,"No Cost EMI")</calculatedColumnFormula>
    </tableColumn>
    <tableColumn id="6" xr3:uid="{DC1330E1-2C15-4010-98B3-BB0CA665833A}" name="Credit Card">
      <calculatedColumnFormula>COUNTIF(Q4:Q203, "Credit Card")</calculatedColumnFormula>
    </tableColumn>
    <tableColumn id="7" xr3:uid="{03EFA600-29F9-4BC7-8333-98747A2AA54F}" name="Cash on delivery">
      <calculatedColumnFormula>COUNTIF(Q4:Q203,"cash on delivery")</calculatedColumnFormula>
    </tableColumn>
    <tableColumn id="8" xr3:uid="{BF88949F-72DF-4644-974B-878003446E06}" name="No of orders">
      <calculatedColumnFormula>COUNTA(A4:A203)</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D5F2E7A-2E8E-4A22-8379-F26F345118AB}" name="Table3" displayName="Table3" ref="E218:H222" totalsRowShown="0">
  <autoFilter ref="E218:H222" xr:uid="{ED5F2E7A-2E8E-4A22-8379-F26F345118AB}"/>
  <tableColumns count="4">
    <tableColumn id="1" xr3:uid="{158503C0-92F9-42CF-B570-CBC78865AAE5}" name="Column1"/>
    <tableColumn id="2" xr3:uid="{A166691B-9845-4253-99E5-A03B121D93E3}" name="Net sales" dataDxfId="7"/>
    <tableColumn id="3" xr3:uid="{7A5CC277-DCB1-44F8-8AD9-1F0A4C2EE909}" name="Surplus" dataDxfId="6"/>
    <tableColumn id="4" xr3:uid="{E0315E49-13D1-4BE2-A1AB-AAF18D37A258}" name="Gross Sales" dataDxfId="5"/>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EBEED0B-F539-45B1-B266-81DD8F7ED6BD}" name="Table6" displayName="Table6" ref="C235:D244" totalsRowShown="0" headerRowDxfId="4">
  <autoFilter ref="C235:D244" xr:uid="{3EBEED0B-F539-45B1-B266-81DD8F7ED6BD}"/>
  <tableColumns count="2">
    <tableColumn id="1" xr3:uid="{7DC05EAF-EFD9-498E-9F34-67226303C430}" name="Key Business Questions"/>
    <tableColumn id="2" xr3:uid="{EDDE7E94-641B-4988-B412-58123CDCB4EF}" name="Answers"/>
  </tableColumns>
  <tableStyleInfo name="TableStyleMedium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A77FE7A-B45B-4319-820F-CE3CA4928CD7}" name="Table4" displayName="Table4" ref="A4:M204" totalsRowShown="0">
  <autoFilter ref="A4:M204" xr:uid="{FA77FE7A-B45B-4319-820F-CE3CA4928CD7}"/>
  <tableColumns count="13">
    <tableColumn id="1" xr3:uid="{16C3B1F0-7604-4FEC-BFDB-2654A91790A7}" name="Customer ID"/>
    <tableColumn id="2" xr3:uid="{9885FCBA-ABC5-4D93-8EE0-D95294E48B3D}" name="Product ID "/>
    <tableColumn id="3" xr3:uid="{71211B30-A5F0-4B42-8B20-01D7D8C01239}" name="Product purchased"/>
    <tableColumn id="4" xr3:uid="{3542443A-9320-4948-AED0-A1679EACAC00}" name="type of Product"/>
    <tableColumn id="5" xr3:uid="{32CC035F-3AEA-48C8-8ABA-60BE0016B4A6}" name="Quantity">
      <calculatedColumnFormula>Orders!E4</calculatedColumnFormula>
    </tableColumn>
    <tableColumn id="6" xr3:uid="{D1ED1CD3-8BF9-4269-80A9-322D9BBC2AF7}" name="Total amount" dataDxfId="3">
      <calculatedColumnFormula>Orders!K4</calculatedColumnFormula>
    </tableColumn>
    <tableColumn id="7" xr3:uid="{860A0AE7-A637-4B24-AAC2-83D9FC6A0837}" name="Customer_Name" dataDxfId="2"/>
    <tableColumn id="8" xr3:uid="{5FA954A9-A1A9-45BE-A578-0F778BDC6699}" name="City"/>
    <tableColumn id="9" xr3:uid="{9FA2BFBD-A2BA-417F-A844-9915EA081D11}" name="State"/>
    <tableColumn id="10" xr3:uid="{0AED74AA-B873-481B-9559-0166969CE8E8}" name="Age"/>
    <tableColumn id="11" xr3:uid="{D8EE8F24-5CDD-4103-A2E8-1E621593B75C}" name="Customer_Segment">
      <calculatedColumnFormula>IF(J5&lt;=25,"student",IF(J5&lt;60,"working adults","Senior Citizen"))</calculatedColumnFormula>
    </tableColumn>
    <tableColumn id="14" xr3:uid="{C600C921-C1AD-4C85-A905-C35438FD56AC}" name="Order Status" dataDxfId="1">
      <calculatedColumnFormula>Orders!R4</calculatedColumnFormula>
    </tableColumn>
    <tableColumn id="12" xr3:uid="{0B0EA5C3-664C-4674-B51A-52940BCFB76B}" name="Mode Of Payment">
      <calculatedColumnFormula>Orders!Q4</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F2CE436-9BB9-4DE8-988E-E5D51E074CBC}" name="Table5" displayName="Table5" ref="A14:A15" totalsRowShown="0">
  <autoFilter ref="A14:A15" xr:uid="{EF2CE436-9BB9-4DE8-988E-E5D51E074CBC}"/>
  <tableColumns count="1">
    <tableColumn id="1" xr3:uid="{3D652F0B-2A07-4A28-B95B-FF8BF1EB4B90}" name="Average order Value" dataDxfId="0">
      <calculatedColumnFormula>Table1[[#Totals],[Net Sales]]/Table1[[#Totals],[Quantity]]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5.xml"/></Relationships>
</file>

<file path=xl/worksheets/_rels/sheet3.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0.xml"/></Relationships>
</file>

<file path=xl/worksheets/_rels/sheet13.xml.rels><?xml version="1.0" encoding="UTF-8" standalone="yes"?>
<Relationships xmlns="http://schemas.openxmlformats.org/package/2006/relationships"><Relationship Id="rId3" Type="http://schemas.openxmlformats.org/officeDocument/2006/relationships/pivotTable" Target="../pivotTables/pivotTable13.xml"/><Relationship Id="rId2" Type="http://schemas.openxmlformats.org/officeDocument/2006/relationships/pivotTable" Target="../pivotTables/pivotTable12.xml"/><Relationship Id="rId1" Type="http://schemas.openxmlformats.org/officeDocument/2006/relationships/pivotTable" Target="../pivotTables/pivotTable11.xml"/><Relationship Id="rId5" Type="http://schemas.openxmlformats.org/officeDocument/2006/relationships/drawing" Target="../drawings/drawing11.xml"/><Relationship Id="rId4" Type="http://schemas.openxmlformats.org/officeDocument/2006/relationships/pivotTable" Target="../pivotTables/pivotTable14.xml"/></Relationships>
</file>

<file path=xl/worksheets/_rels/sheet1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5A19C-5261-4E62-AA5D-3322E00B9167}">
  <dimension ref="A1:S244"/>
  <sheetViews>
    <sheetView tabSelected="1" topLeftCell="D1" zoomScale="108" zoomScaleNormal="108" workbookViewId="0">
      <selection activeCell="O38" sqref="O38"/>
    </sheetView>
  </sheetViews>
  <sheetFormatPr defaultRowHeight="14.5" x14ac:dyDescent="0.35"/>
  <cols>
    <col min="1" max="1" width="10" customWidth="1"/>
    <col min="2" max="2" width="15" customWidth="1"/>
    <col min="3" max="3" width="51.7265625" customWidth="1"/>
    <col min="4" max="4" width="39.7265625" customWidth="1"/>
    <col min="5" max="5" width="11.1796875" customWidth="1"/>
    <col min="6" max="6" width="16.6328125" customWidth="1"/>
    <col min="7" max="7" width="16.90625" customWidth="1"/>
    <col min="8" max="8" width="17" customWidth="1"/>
    <col min="9" max="9" width="18" customWidth="1"/>
    <col min="10" max="15" width="17.6328125" customWidth="1"/>
    <col min="16" max="16" width="16.36328125" customWidth="1"/>
    <col min="17" max="17" width="14" customWidth="1"/>
    <col min="20" max="20" width="8.7265625" customWidth="1"/>
  </cols>
  <sheetData>
    <row r="1" spans="1:19" ht="14.5" customHeight="1" x14ac:dyDescent="0.35">
      <c r="C1" s="16" t="s">
        <v>1143</v>
      </c>
      <c r="D1" s="16"/>
      <c r="E1" s="16"/>
      <c r="F1" s="16"/>
      <c r="G1" s="16"/>
      <c r="H1" s="16"/>
      <c r="I1" s="16"/>
      <c r="J1" s="16"/>
      <c r="K1" s="16"/>
      <c r="L1" s="16"/>
      <c r="M1" s="16"/>
      <c r="N1" s="16"/>
      <c r="O1" s="16"/>
      <c r="P1" s="16"/>
      <c r="Q1" s="16"/>
      <c r="R1" s="16"/>
      <c r="S1" s="16"/>
    </row>
    <row r="2" spans="1:19" x14ac:dyDescent="0.35">
      <c r="C2" s="16"/>
      <c r="D2" s="16"/>
      <c r="E2" s="16"/>
      <c r="F2" s="16"/>
      <c r="G2" s="16"/>
      <c r="H2" s="16"/>
      <c r="I2" s="16"/>
      <c r="J2" s="16"/>
      <c r="K2" s="16"/>
      <c r="L2" s="16"/>
      <c r="M2" s="16"/>
      <c r="N2" s="16"/>
      <c r="O2" s="16"/>
      <c r="P2" s="16"/>
      <c r="Q2" s="16"/>
      <c r="R2" s="16"/>
      <c r="S2" s="16"/>
    </row>
    <row r="3" spans="1:19" x14ac:dyDescent="0.35">
      <c r="A3" t="s">
        <v>0</v>
      </c>
      <c r="B3" t="s">
        <v>1</v>
      </c>
      <c r="C3" t="s">
        <v>2</v>
      </c>
      <c r="D3" t="s">
        <v>3</v>
      </c>
      <c r="E3" t="s">
        <v>4</v>
      </c>
      <c r="F3" t="s">
        <v>5</v>
      </c>
      <c r="G3" t="s">
        <v>617</v>
      </c>
      <c r="H3" t="s">
        <v>6</v>
      </c>
      <c r="I3" t="s">
        <v>618</v>
      </c>
      <c r="J3" t="s">
        <v>621</v>
      </c>
      <c r="K3" t="s">
        <v>619</v>
      </c>
      <c r="L3" t="s">
        <v>632</v>
      </c>
      <c r="M3" t="s">
        <v>633</v>
      </c>
      <c r="N3" t="s">
        <v>620</v>
      </c>
      <c r="O3" t="s">
        <v>1133</v>
      </c>
      <c r="P3" t="s">
        <v>634</v>
      </c>
      <c r="Q3" t="s">
        <v>7</v>
      </c>
      <c r="R3" t="s">
        <v>8</v>
      </c>
    </row>
    <row r="4" spans="1:19" x14ac:dyDescent="0.35">
      <c r="A4" t="s">
        <v>9</v>
      </c>
      <c r="B4" s="1">
        <v>45669</v>
      </c>
      <c r="C4" t="s">
        <v>209</v>
      </c>
      <c r="D4" t="s">
        <v>409</v>
      </c>
      <c r="E4">
        <v>4</v>
      </c>
      <c r="F4" s="5">
        <v>899</v>
      </c>
      <c r="G4" s="6">
        <f>F4*E4</f>
        <v>3596</v>
      </c>
      <c r="H4" s="2">
        <v>0.1</v>
      </c>
      <c r="I4" s="6">
        <f>G4*H4</f>
        <v>359.6</v>
      </c>
      <c r="J4" s="6">
        <f t="shared" ref="J4:J35" si="0">G4*0.4</f>
        <v>1438.4</v>
      </c>
      <c r="K4" s="6">
        <f>G4+J4-I4</f>
        <v>4674.7999999999993</v>
      </c>
      <c r="L4" s="6">
        <f>K4-G4</f>
        <v>1078.7999999999993</v>
      </c>
      <c r="M4" s="6" t="str" cm="1">
        <f t="array" ref="M4">_xlfn.XLOOKUP(Orders!C4,Customers!A5:A204,Customers!G5:'Customers'!G204,"Not Found")</f>
        <v>Aarav Mehta</v>
      </c>
      <c r="N4" s="4" t="str">
        <f>IF(K4&lt;5000,"Micro",IF(K4&lt;10000,"Small",IF(K4&lt;=30000,"Medium",IF(K4&lt;=100000,"Large",IF(K4&lt;=125000,"Industrial","Wholesale")))))</f>
        <v>Micro</v>
      </c>
      <c r="O4" t="s">
        <v>1014</v>
      </c>
      <c r="P4" t="s">
        <v>1044</v>
      </c>
      <c r="Q4" t="s">
        <v>609</v>
      </c>
      <c r="R4" t="s">
        <v>610</v>
      </c>
    </row>
    <row r="5" spans="1:19" x14ac:dyDescent="0.35">
      <c r="A5" t="s">
        <v>10</v>
      </c>
      <c r="B5" s="1">
        <v>45669</v>
      </c>
      <c r="C5" t="s">
        <v>210</v>
      </c>
      <c r="D5" t="s">
        <v>410</v>
      </c>
      <c r="E5">
        <v>5</v>
      </c>
      <c r="F5" s="6">
        <v>649</v>
      </c>
      <c r="G5" s="6">
        <f t="shared" ref="G5:G68" si="1">E5*F5</f>
        <v>3245</v>
      </c>
      <c r="H5" s="2">
        <v>0.02</v>
      </c>
      <c r="I5" s="6">
        <f t="shared" ref="I5:I68" si="2">G5*H5</f>
        <v>64.900000000000006</v>
      </c>
      <c r="J5" s="6">
        <f t="shared" si="0"/>
        <v>1298</v>
      </c>
      <c r="K5" s="6">
        <f t="shared" ref="K5:K68" si="3">G5+J5-I5</f>
        <v>4478.1000000000004</v>
      </c>
      <c r="L5" s="6">
        <f t="shared" ref="L5:L68" si="4">K5-G5</f>
        <v>1233.1000000000004</v>
      </c>
      <c r="M5" s="6" t="str" cm="1">
        <f t="array" ref="M5">_xlfn.XLOOKUP(Orders!C5,Customers!A6:A205,Customers!G6:'Customers'!G205,"Not Found")</f>
        <v>Aditi Patel</v>
      </c>
      <c r="N5" s="4" t="str">
        <f t="shared" ref="N5:N68" si="5">IF(K5&lt;5000,"Micro",IF(K5&lt;10000,"Small",IF(K5&lt;=30000,"Medium",IF(K5&lt;=100000,"Large",IF(K5&lt;=125000,"Industrial","Wholesale")))))</f>
        <v>Micro</v>
      </c>
      <c r="O5" t="s">
        <v>1014</v>
      </c>
      <c r="P5" t="s">
        <v>1045</v>
      </c>
      <c r="Q5" t="s">
        <v>611</v>
      </c>
      <c r="R5" t="s">
        <v>610</v>
      </c>
    </row>
    <row r="6" spans="1:19" x14ac:dyDescent="0.35">
      <c r="A6" t="s">
        <v>11</v>
      </c>
      <c r="B6" s="1">
        <v>45669</v>
      </c>
      <c r="C6" t="s">
        <v>211</v>
      </c>
      <c r="D6" t="s">
        <v>411</v>
      </c>
      <c r="E6">
        <v>6</v>
      </c>
      <c r="F6" s="6">
        <v>125</v>
      </c>
      <c r="G6" s="6">
        <f t="shared" si="1"/>
        <v>750</v>
      </c>
      <c r="H6" s="2">
        <v>0</v>
      </c>
      <c r="I6" s="6">
        <f t="shared" si="2"/>
        <v>0</v>
      </c>
      <c r="J6" s="6">
        <f t="shared" si="0"/>
        <v>300</v>
      </c>
      <c r="K6" s="6">
        <f t="shared" si="3"/>
        <v>1050</v>
      </c>
      <c r="L6" s="6">
        <f t="shared" si="4"/>
        <v>300</v>
      </c>
      <c r="M6" s="6" t="str" cm="1">
        <f t="array" ref="M6">_xlfn.XLOOKUP(Orders!C6,Customers!A7:A206,Customers!G7:'Customers'!G206,"Not Found")</f>
        <v>Arjun Khanna</v>
      </c>
      <c r="N6" s="4" t="str">
        <f t="shared" si="5"/>
        <v>Micro</v>
      </c>
      <c r="O6" t="s">
        <v>1014</v>
      </c>
      <c r="P6" t="s">
        <v>1043</v>
      </c>
      <c r="Q6" t="s">
        <v>612</v>
      </c>
      <c r="R6" t="s">
        <v>610</v>
      </c>
    </row>
    <row r="7" spans="1:19" x14ac:dyDescent="0.35">
      <c r="A7" t="s">
        <v>12</v>
      </c>
      <c r="B7" s="1">
        <v>45669</v>
      </c>
      <c r="C7" t="s">
        <v>212</v>
      </c>
      <c r="D7" t="s">
        <v>412</v>
      </c>
      <c r="E7">
        <v>7</v>
      </c>
      <c r="F7" s="6">
        <v>199</v>
      </c>
      <c r="G7" s="6">
        <f t="shared" si="1"/>
        <v>1393</v>
      </c>
      <c r="H7" s="2">
        <v>0</v>
      </c>
      <c r="I7" s="6">
        <f t="shared" si="2"/>
        <v>0</v>
      </c>
      <c r="J7" s="6">
        <f t="shared" si="0"/>
        <v>557.20000000000005</v>
      </c>
      <c r="K7" s="6">
        <f t="shared" si="3"/>
        <v>1950.2</v>
      </c>
      <c r="L7" s="6">
        <f t="shared" si="4"/>
        <v>557.20000000000005</v>
      </c>
      <c r="M7" s="6" t="str" cm="1">
        <f t="array" ref="M7">_xlfn.XLOOKUP(Orders!C7,Customers!A8:A207,Customers!G8:'Customers'!G207,"Not Found")</f>
        <v>Ananya Khanna</v>
      </c>
      <c r="N7" s="4" t="str">
        <f t="shared" si="5"/>
        <v>Micro</v>
      </c>
      <c r="O7" t="s">
        <v>1014</v>
      </c>
      <c r="P7" t="s">
        <v>1046</v>
      </c>
      <c r="Q7" t="s">
        <v>612</v>
      </c>
      <c r="R7" t="s">
        <v>610</v>
      </c>
    </row>
    <row r="8" spans="1:19" x14ac:dyDescent="0.35">
      <c r="A8" t="s">
        <v>13</v>
      </c>
      <c r="B8" s="1">
        <v>45670</v>
      </c>
      <c r="C8" t="s">
        <v>213</v>
      </c>
      <c r="D8" t="s">
        <v>413</v>
      </c>
      <c r="E8">
        <v>2</v>
      </c>
      <c r="F8" s="6">
        <v>900</v>
      </c>
      <c r="G8" s="6">
        <f t="shared" si="1"/>
        <v>1800</v>
      </c>
      <c r="H8" s="2">
        <v>0.15</v>
      </c>
      <c r="I8" s="6">
        <f t="shared" si="2"/>
        <v>270</v>
      </c>
      <c r="J8" s="6">
        <f t="shared" si="0"/>
        <v>720</v>
      </c>
      <c r="K8" s="6">
        <f t="shared" si="3"/>
        <v>2250</v>
      </c>
      <c r="L8" s="6">
        <f t="shared" si="4"/>
        <v>450</v>
      </c>
      <c r="M8" s="6" t="str" cm="1">
        <f t="array" ref="M8">_xlfn.XLOOKUP(Orders!C8,Customers!A9:A208,Customers!G9:'Customers'!G208,"Not Found")</f>
        <v>Aditya Kulkarni</v>
      </c>
      <c r="N8" s="4" t="str">
        <f t="shared" si="5"/>
        <v>Micro</v>
      </c>
      <c r="O8" t="s">
        <v>1011</v>
      </c>
      <c r="P8" t="s">
        <v>1048</v>
      </c>
      <c r="Q8" t="s">
        <v>612</v>
      </c>
      <c r="R8" t="s">
        <v>610</v>
      </c>
    </row>
    <row r="9" spans="1:19" x14ac:dyDescent="0.35">
      <c r="A9" t="s">
        <v>14</v>
      </c>
      <c r="B9" s="1">
        <v>45670</v>
      </c>
      <c r="C9" t="s">
        <v>214</v>
      </c>
      <c r="D9" t="s">
        <v>414</v>
      </c>
      <c r="E9">
        <v>3</v>
      </c>
      <c r="F9" s="6">
        <v>1200</v>
      </c>
      <c r="G9" s="6">
        <f t="shared" si="1"/>
        <v>3600</v>
      </c>
      <c r="H9" s="2">
        <v>0.15</v>
      </c>
      <c r="I9" s="6">
        <f t="shared" si="2"/>
        <v>540</v>
      </c>
      <c r="J9" s="6">
        <f t="shared" si="0"/>
        <v>1440</v>
      </c>
      <c r="K9" s="6">
        <f t="shared" si="3"/>
        <v>4500</v>
      </c>
      <c r="L9" s="6">
        <f t="shared" si="4"/>
        <v>900</v>
      </c>
      <c r="M9" s="6" t="str" cm="1">
        <f t="array" ref="M9">_xlfn.XLOOKUP(Orders!C9,Customers!A10:A209,Customers!G10:'Customers'!G209,"Not Found")</f>
        <v>Ishita Yadav</v>
      </c>
      <c r="N9" s="4" t="str">
        <f t="shared" si="5"/>
        <v>Micro</v>
      </c>
      <c r="O9" t="s">
        <v>1012</v>
      </c>
      <c r="P9" t="s">
        <v>1049</v>
      </c>
      <c r="Q9" t="s">
        <v>612</v>
      </c>
      <c r="R9" t="s">
        <v>610</v>
      </c>
    </row>
    <row r="10" spans="1:19" x14ac:dyDescent="0.35">
      <c r="A10" t="s">
        <v>15</v>
      </c>
      <c r="B10" s="1">
        <v>45670</v>
      </c>
      <c r="C10" t="s">
        <v>215</v>
      </c>
      <c r="D10" t="s">
        <v>415</v>
      </c>
      <c r="E10">
        <v>4</v>
      </c>
      <c r="F10" s="6">
        <v>800</v>
      </c>
      <c r="G10" s="6">
        <f t="shared" si="1"/>
        <v>3200</v>
      </c>
      <c r="H10" s="2">
        <v>0.15</v>
      </c>
      <c r="I10" s="6">
        <f t="shared" si="2"/>
        <v>480</v>
      </c>
      <c r="J10" s="6">
        <f t="shared" si="0"/>
        <v>1280</v>
      </c>
      <c r="K10" s="6">
        <f t="shared" si="3"/>
        <v>4000</v>
      </c>
      <c r="L10" s="6">
        <f t="shared" si="4"/>
        <v>800</v>
      </c>
      <c r="M10" s="6" t="str" cm="1">
        <f t="array" ref="M10">_xlfn.XLOOKUP(Orders!C10,Customers!A11:A210,Customers!G11:'Customers'!G210,"Not Found")</f>
        <v>Kabir Mathur</v>
      </c>
      <c r="N10" s="4" t="str">
        <f t="shared" si="5"/>
        <v>Micro</v>
      </c>
      <c r="O10" t="s">
        <v>1013</v>
      </c>
      <c r="P10" t="s">
        <v>1050</v>
      </c>
      <c r="Q10" t="s">
        <v>612</v>
      </c>
      <c r="R10" t="s">
        <v>610</v>
      </c>
    </row>
    <row r="11" spans="1:19" x14ac:dyDescent="0.35">
      <c r="A11" t="s">
        <v>16</v>
      </c>
      <c r="B11" s="1">
        <v>45670</v>
      </c>
      <c r="C11" t="s">
        <v>216</v>
      </c>
      <c r="D11" t="s">
        <v>416</v>
      </c>
      <c r="E11">
        <v>5</v>
      </c>
      <c r="F11" s="6">
        <v>700</v>
      </c>
      <c r="G11" s="6">
        <f t="shared" si="1"/>
        <v>3500</v>
      </c>
      <c r="H11" s="2">
        <v>0.15</v>
      </c>
      <c r="I11" s="6">
        <f t="shared" si="2"/>
        <v>525</v>
      </c>
      <c r="J11" s="6">
        <f t="shared" si="0"/>
        <v>1400</v>
      </c>
      <c r="K11" s="6">
        <f t="shared" si="3"/>
        <v>4375</v>
      </c>
      <c r="L11" s="6">
        <f t="shared" si="4"/>
        <v>875</v>
      </c>
      <c r="M11" s="6" t="str" cm="1">
        <f t="array" ref="M11">_xlfn.XLOOKUP(Orders!C11,Customers!A12:A211,Customers!G12:'Customers'!G211,"Not Found")</f>
        <v>Meera Gupta</v>
      </c>
      <c r="N11" s="4" t="str">
        <f t="shared" si="5"/>
        <v>Micro</v>
      </c>
      <c r="O11" t="s">
        <v>1014</v>
      </c>
      <c r="P11" t="s">
        <v>1051</v>
      </c>
      <c r="Q11" t="s">
        <v>612</v>
      </c>
      <c r="R11" t="s">
        <v>610</v>
      </c>
    </row>
    <row r="12" spans="1:19" x14ac:dyDescent="0.35">
      <c r="A12" t="s">
        <v>17</v>
      </c>
      <c r="B12" s="1">
        <v>45671</v>
      </c>
      <c r="C12" t="s">
        <v>217</v>
      </c>
      <c r="D12" t="s">
        <v>417</v>
      </c>
      <c r="E12">
        <v>1</v>
      </c>
      <c r="F12" s="6">
        <v>600</v>
      </c>
      <c r="G12" s="6">
        <f t="shared" si="1"/>
        <v>600</v>
      </c>
      <c r="H12" s="2">
        <v>0.15</v>
      </c>
      <c r="I12" s="6">
        <f t="shared" si="2"/>
        <v>90</v>
      </c>
      <c r="J12" s="6">
        <f t="shared" si="0"/>
        <v>240</v>
      </c>
      <c r="K12" s="6">
        <f t="shared" si="3"/>
        <v>750</v>
      </c>
      <c r="L12" s="6">
        <f t="shared" si="4"/>
        <v>150</v>
      </c>
      <c r="M12" s="6" t="str" cm="1">
        <f t="array" ref="M12">_xlfn.XLOOKUP(Orders!C12,Customers!A13:A212,Customers!G13:'Customers'!G212,"Not Found")</f>
        <v>Rohan Iyer</v>
      </c>
      <c r="N12" s="4" t="str">
        <f t="shared" si="5"/>
        <v>Micro</v>
      </c>
      <c r="O12" t="s">
        <v>1014</v>
      </c>
      <c r="P12" t="s">
        <v>1052</v>
      </c>
      <c r="Q12" t="s">
        <v>612</v>
      </c>
      <c r="R12" t="s">
        <v>610</v>
      </c>
    </row>
    <row r="13" spans="1:19" x14ac:dyDescent="0.35">
      <c r="A13" t="s">
        <v>18</v>
      </c>
      <c r="B13" s="1">
        <v>45671</v>
      </c>
      <c r="C13" t="s">
        <v>218</v>
      </c>
      <c r="D13" t="s">
        <v>418</v>
      </c>
      <c r="E13">
        <v>3</v>
      </c>
      <c r="F13" s="6">
        <v>3000</v>
      </c>
      <c r="G13" s="6">
        <f t="shared" si="1"/>
        <v>9000</v>
      </c>
      <c r="H13" s="2">
        <v>0.15</v>
      </c>
      <c r="I13" s="6">
        <f t="shared" si="2"/>
        <v>1350</v>
      </c>
      <c r="J13" s="6">
        <f t="shared" si="0"/>
        <v>3600</v>
      </c>
      <c r="K13" s="6">
        <f t="shared" si="3"/>
        <v>11250</v>
      </c>
      <c r="L13" s="6">
        <f t="shared" si="4"/>
        <v>2250</v>
      </c>
      <c r="M13" s="6" t="str" cm="1">
        <f t="array" ref="M13">_xlfn.XLOOKUP(Orders!C13,Customers!A14:A213,Customers!G14:'Customers'!G213,"Not Found")</f>
        <v>Priya Mishra</v>
      </c>
      <c r="N13" s="4" t="str">
        <f t="shared" si="5"/>
        <v>Medium</v>
      </c>
      <c r="O13" t="s">
        <v>1015</v>
      </c>
      <c r="P13" t="s">
        <v>1053</v>
      </c>
      <c r="Q13" t="s">
        <v>612</v>
      </c>
      <c r="R13" t="s">
        <v>610</v>
      </c>
    </row>
    <row r="14" spans="1:19" x14ac:dyDescent="0.35">
      <c r="A14" t="s">
        <v>19</v>
      </c>
      <c r="B14" s="1">
        <v>45671</v>
      </c>
      <c r="C14" t="s">
        <v>219</v>
      </c>
      <c r="D14" t="s">
        <v>419</v>
      </c>
      <c r="E14">
        <v>5</v>
      </c>
      <c r="F14" s="6">
        <v>2500</v>
      </c>
      <c r="G14" s="6">
        <f t="shared" si="1"/>
        <v>12500</v>
      </c>
      <c r="H14" s="2">
        <v>0.2</v>
      </c>
      <c r="I14" s="6">
        <f t="shared" si="2"/>
        <v>2500</v>
      </c>
      <c r="J14" s="6">
        <f t="shared" si="0"/>
        <v>5000</v>
      </c>
      <c r="K14" s="6">
        <f t="shared" si="3"/>
        <v>15000</v>
      </c>
      <c r="L14" s="6">
        <f t="shared" si="4"/>
        <v>2500</v>
      </c>
      <c r="M14" s="6" t="str" cm="1">
        <f t="array" ref="M14">_xlfn.XLOOKUP(Orders!C14,Customers!A15:A214,Customers!G15:'Customers'!G214,"Not Found")</f>
        <v>Rahul Pandey</v>
      </c>
      <c r="N14" s="4" t="str">
        <f t="shared" si="5"/>
        <v>Medium</v>
      </c>
      <c r="O14" t="s">
        <v>1016</v>
      </c>
      <c r="P14" t="s">
        <v>1054</v>
      </c>
      <c r="Q14" t="s">
        <v>609</v>
      </c>
      <c r="R14" t="s">
        <v>613</v>
      </c>
    </row>
    <row r="15" spans="1:19" x14ac:dyDescent="0.35">
      <c r="A15" t="s">
        <v>20</v>
      </c>
      <c r="B15" s="1">
        <v>45671</v>
      </c>
      <c r="C15" t="s">
        <v>220</v>
      </c>
      <c r="D15" t="s">
        <v>420</v>
      </c>
      <c r="E15">
        <v>7</v>
      </c>
      <c r="F15" s="6">
        <v>2300</v>
      </c>
      <c r="G15" s="6">
        <f t="shared" si="1"/>
        <v>16100</v>
      </c>
      <c r="H15" s="2">
        <v>0.2</v>
      </c>
      <c r="I15" s="6">
        <f t="shared" si="2"/>
        <v>3220</v>
      </c>
      <c r="J15" s="6">
        <f t="shared" si="0"/>
        <v>6440</v>
      </c>
      <c r="K15" s="6">
        <f t="shared" si="3"/>
        <v>19320</v>
      </c>
      <c r="L15" s="6">
        <f t="shared" si="4"/>
        <v>3220</v>
      </c>
      <c r="M15" s="6" t="str" cm="1">
        <f t="array" ref="M15">_xlfn.XLOOKUP(Orders!C15,Customers!A16:A215,Customers!G16:'Customers'!G215,"Not Found")</f>
        <v>Sneha Srivastava</v>
      </c>
      <c r="N15" s="4" t="str">
        <f t="shared" si="5"/>
        <v>Medium</v>
      </c>
      <c r="O15" t="s">
        <v>1017</v>
      </c>
      <c r="P15" t="s">
        <v>1055</v>
      </c>
      <c r="Q15" t="s">
        <v>609</v>
      </c>
      <c r="R15" t="s">
        <v>610</v>
      </c>
    </row>
    <row r="16" spans="1:19" x14ac:dyDescent="0.35">
      <c r="A16" t="s">
        <v>21</v>
      </c>
      <c r="B16" s="1">
        <v>45671</v>
      </c>
      <c r="C16" t="s">
        <v>221</v>
      </c>
      <c r="D16" t="s">
        <v>421</v>
      </c>
      <c r="E16">
        <v>9</v>
      </c>
      <c r="F16" s="6">
        <v>2100</v>
      </c>
      <c r="G16" s="6">
        <f t="shared" si="1"/>
        <v>18900</v>
      </c>
      <c r="H16" s="2">
        <v>0.2</v>
      </c>
      <c r="I16" s="6">
        <f t="shared" si="2"/>
        <v>3780</v>
      </c>
      <c r="J16" s="6">
        <f t="shared" si="0"/>
        <v>7560</v>
      </c>
      <c r="K16" s="6">
        <f t="shared" si="3"/>
        <v>22680</v>
      </c>
      <c r="L16" s="6">
        <f t="shared" si="4"/>
        <v>3780</v>
      </c>
      <c r="M16" s="6" t="str" cm="1">
        <f t="array" ref="M16">_xlfn.XLOOKUP(Orders!C16,Customers!A17:A216,Customers!G17:'Customers'!G216,"Not Found")</f>
        <v>Vihaan Dutta</v>
      </c>
      <c r="N16" s="4" t="str">
        <f t="shared" si="5"/>
        <v>Medium</v>
      </c>
      <c r="O16" t="s">
        <v>1017</v>
      </c>
      <c r="P16" t="s">
        <v>1056</v>
      </c>
      <c r="Q16" t="s">
        <v>609</v>
      </c>
      <c r="R16" t="s">
        <v>613</v>
      </c>
    </row>
    <row r="17" spans="1:18" x14ac:dyDescent="0.35">
      <c r="A17" t="s">
        <v>22</v>
      </c>
      <c r="B17" s="1">
        <v>45671</v>
      </c>
      <c r="C17" t="s">
        <v>222</v>
      </c>
      <c r="D17" t="s">
        <v>422</v>
      </c>
      <c r="E17">
        <v>11</v>
      </c>
      <c r="F17" s="6">
        <v>1900</v>
      </c>
      <c r="G17" s="6">
        <f t="shared" si="1"/>
        <v>20900</v>
      </c>
      <c r="H17" s="2">
        <v>0.2</v>
      </c>
      <c r="I17" s="6">
        <f t="shared" si="2"/>
        <v>4180</v>
      </c>
      <c r="J17" s="6">
        <f t="shared" si="0"/>
        <v>8360</v>
      </c>
      <c r="K17" s="6">
        <f t="shared" si="3"/>
        <v>25080</v>
      </c>
      <c r="L17" s="6">
        <f t="shared" si="4"/>
        <v>4180</v>
      </c>
      <c r="M17" s="6" t="str" cm="1">
        <f t="array" ref="M17">_xlfn.XLOOKUP(Orders!C17,Customers!A18:A217,Customers!G18:'Customers'!G217,"Not Found")</f>
        <v>Diya Sood</v>
      </c>
      <c r="N17" s="4" t="str">
        <f t="shared" si="5"/>
        <v>Medium</v>
      </c>
      <c r="O17" t="s">
        <v>1030</v>
      </c>
      <c r="P17" t="s">
        <v>1057</v>
      </c>
      <c r="Q17" t="s">
        <v>609</v>
      </c>
      <c r="R17" t="s">
        <v>613</v>
      </c>
    </row>
    <row r="18" spans="1:18" x14ac:dyDescent="0.35">
      <c r="A18" t="s">
        <v>23</v>
      </c>
      <c r="B18" s="1">
        <v>45671</v>
      </c>
      <c r="C18" t="s">
        <v>223</v>
      </c>
      <c r="D18" t="s">
        <v>423</v>
      </c>
      <c r="E18">
        <v>13</v>
      </c>
      <c r="F18" s="6">
        <v>250</v>
      </c>
      <c r="G18" s="6">
        <f t="shared" si="1"/>
        <v>3250</v>
      </c>
      <c r="H18" s="2">
        <v>0.2</v>
      </c>
      <c r="I18" s="6">
        <f t="shared" si="2"/>
        <v>650</v>
      </c>
      <c r="J18" s="6">
        <f t="shared" si="0"/>
        <v>1300</v>
      </c>
      <c r="K18" s="6">
        <f t="shared" si="3"/>
        <v>3900</v>
      </c>
      <c r="L18" s="6">
        <f t="shared" si="4"/>
        <v>650</v>
      </c>
      <c r="M18" s="6" t="str" cm="1">
        <f t="array" ref="M18">_xlfn.XLOOKUP(Orders!C18,Customers!A19:A218,Customers!G19:'Customers'!G218,"Not Found")</f>
        <v>Karan Verma</v>
      </c>
      <c r="N18" s="4" t="str">
        <f t="shared" si="5"/>
        <v>Micro</v>
      </c>
      <c r="O18" t="s">
        <v>1030</v>
      </c>
      <c r="P18" t="s">
        <v>1058</v>
      </c>
      <c r="Q18" t="s">
        <v>609</v>
      </c>
      <c r="R18" t="s">
        <v>610</v>
      </c>
    </row>
    <row r="19" spans="1:18" x14ac:dyDescent="0.35">
      <c r="A19" t="s">
        <v>24</v>
      </c>
      <c r="B19" s="1">
        <v>45671</v>
      </c>
      <c r="C19" t="s">
        <v>224</v>
      </c>
      <c r="D19" t="s">
        <v>424</v>
      </c>
      <c r="E19">
        <v>15</v>
      </c>
      <c r="F19" s="6">
        <v>1300</v>
      </c>
      <c r="G19" s="6">
        <f t="shared" si="1"/>
        <v>19500</v>
      </c>
      <c r="H19" s="2">
        <v>0.2</v>
      </c>
      <c r="I19" s="6">
        <f t="shared" si="2"/>
        <v>3900</v>
      </c>
      <c r="J19" s="6">
        <f t="shared" si="0"/>
        <v>7800</v>
      </c>
      <c r="K19" s="6">
        <f t="shared" si="3"/>
        <v>23400</v>
      </c>
      <c r="L19" s="6">
        <f t="shared" si="4"/>
        <v>3900</v>
      </c>
      <c r="M19" s="6" t="str" cm="1">
        <f t="array" ref="M19">_xlfn.XLOOKUP(Orders!C19,Customers!A20:A219,Customers!G20:'Customers'!G219,"Not Found")</f>
        <v>Neha Agarwal</v>
      </c>
      <c r="N19" s="4" t="str">
        <f t="shared" si="5"/>
        <v>Medium</v>
      </c>
      <c r="O19" t="s">
        <v>1030</v>
      </c>
      <c r="P19" t="s">
        <v>1059</v>
      </c>
      <c r="Q19" t="s">
        <v>609</v>
      </c>
      <c r="R19" t="s">
        <v>613</v>
      </c>
    </row>
    <row r="20" spans="1:18" x14ac:dyDescent="0.35">
      <c r="A20" t="s">
        <v>25</v>
      </c>
      <c r="B20" s="1">
        <v>45671</v>
      </c>
      <c r="C20" t="s">
        <v>225</v>
      </c>
      <c r="D20" t="s">
        <v>425</v>
      </c>
      <c r="E20">
        <v>17</v>
      </c>
      <c r="F20" s="6">
        <v>3100</v>
      </c>
      <c r="G20" s="6">
        <f t="shared" si="1"/>
        <v>52700</v>
      </c>
      <c r="H20" s="2">
        <v>0.2</v>
      </c>
      <c r="I20" s="6">
        <f t="shared" si="2"/>
        <v>10540</v>
      </c>
      <c r="J20" s="6">
        <f t="shared" si="0"/>
        <v>21080</v>
      </c>
      <c r="K20" s="6">
        <f t="shared" si="3"/>
        <v>63240</v>
      </c>
      <c r="L20" s="6">
        <f t="shared" si="4"/>
        <v>10540</v>
      </c>
      <c r="M20" s="6" t="str" cm="1">
        <f t="array" ref="M20">_xlfn.XLOOKUP(Orders!C20,Customers!A21:A220,Customers!G21:'Customers'!G220,"Not Found")</f>
        <v>Aryan Saxena</v>
      </c>
      <c r="N20" s="4" t="str">
        <f t="shared" si="5"/>
        <v>Large</v>
      </c>
      <c r="O20" t="s">
        <v>1030</v>
      </c>
      <c r="P20" t="s">
        <v>1060</v>
      </c>
      <c r="Q20" t="s">
        <v>609</v>
      </c>
      <c r="R20" t="s">
        <v>610</v>
      </c>
    </row>
    <row r="21" spans="1:18" x14ac:dyDescent="0.35">
      <c r="A21" t="s">
        <v>26</v>
      </c>
      <c r="B21" s="1">
        <v>45671</v>
      </c>
      <c r="C21" t="s">
        <v>226</v>
      </c>
      <c r="D21" t="s">
        <v>426</v>
      </c>
      <c r="E21">
        <v>19</v>
      </c>
      <c r="F21" s="6">
        <v>1200</v>
      </c>
      <c r="G21" s="6">
        <f t="shared" si="1"/>
        <v>22800</v>
      </c>
      <c r="H21" s="2">
        <v>0.2</v>
      </c>
      <c r="I21" s="6">
        <f t="shared" si="2"/>
        <v>4560</v>
      </c>
      <c r="J21" s="6">
        <f t="shared" si="0"/>
        <v>9120</v>
      </c>
      <c r="K21" s="6">
        <f t="shared" si="3"/>
        <v>27360</v>
      </c>
      <c r="L21" s="6">
        <f t="shared" si="4"/>
        <v>4560</v>
      </c>
      <c r="M21" s="6" t="str" cm="1">
        <f t="array" ref="M21">_xlfn.XLOOKUP(Orders!C21,Customers!A22:A221,Customers!G22:'Customers'!G221,"Not Found")</f>
        <v>Kavya Tiwari</v>
      </c>
      <c r="N21" s="4" t="str">
        <f t="shared" si="5"/>
        <v>Medium</v>
      </c>
      <c r="O21" t="s">
        <v>1018</v>
      </c>
      <c r="P21" t="s">
        <v>1061</v>
      </c>
      <c r="Q21" t="s">
        <v>609</v>
      </c>
      <c r="R21" t="s">
        <v>613</v>
      </c>
    </row>
    <row r="22" spans="1:18" x14ac:dyDescent="0.35">
      <c r="A22" t="s">
        <v>27</v>
      </c>
      <c r="B22" s="1">
        <v>45671</v>
      </c>
      <c r="C22" t="s">
        <v>227</v>
      </c>
      <c r="D22" t="s">
        <v>427</v>
      </c>
      <c r="E22">
        <v>21</v>
      </c>
      <c r="F22" s="6">
        <v>1100</v>
      </c>
      <c r="G22" s="6">
        <f t="shared" si="1"/>
        <v>23100</v>
      </c>
      <c r="H22" s="2">
        <v>0.2</v>
      </c>
      <c r="I22" s="6">
        <f t="shared" si="2"/>
        <v>4620</v>
      </c>
      <c r="J22" s="6">
        <f t="shared" si="0"/>
        <v>9240</v>
      </c>
      <c r="K22" s="6">
        <f t="shared" si="3"/>
        <v>27720</v>
      </c>
      <c r="L22" s="6">
        <f t="shared" si="4"/>
        <v>4620</v>
      </c>
      <c r="M22" s="6" t="str" cm="1">
        <f t="array" ref="M22">_xlfn.XLOOKUP(Orders!C22,Customers!A23:A222,Customers!G23:'Customers'!G222,"Not Found")</f>
        <v>Yash Sinha</v>
      </c>
      <c r="N22" s="4" t="str">
        <f t="shared" si="5"/>
        <v>Medium</v>
      </c>
      <c r="O22" t="s">
        <v>1020</v>
      </c>
      <c r="P22" t="s">
        <v>1062</v>
      </c>
      <c r="Q22" t="s">
        <v>609</v>
      </c>
      <c r="R22" t="s">
        <v>613</v>
      </c>
    </row>
    <row r="23" spans="1:18" x14ac:dyDescent="0.35">
      <c r="A23" t="s">
        <v>28</v>
      </c>
      <c r="B23" s="1">
        <v>45671</v>
      </c>
      <c r="C23" t="s">
        <v>228</v>
      </c>
      <c r="D23" t="s">
        <v>428</v>
      </c>
      <c r="E23">
        <v>5</v>
      </c>
      <c r="F23" s="6">
        <v>2000</v>
      </c>
      <c r="G23" s="6">
        <f t="shared" si="1"/>
        <v>10000</v>
      </c>
      <c r="H23" s="2">
        <v>0.1</v>
      </c>
      <c r="I23" s="6">
        <f t="shared" si="2"/>
        <v>1000</v>
      </c>
      <c r="J23" s="6">
        <f t="shared" si="0"/>
        <v>4000</v>
      </c>
      <c r="K23" s="6">
        <f t="shared" si="3"/>
        <v>13000</v>
      </c>
      <c r="L23" s="6">
        <f t="shared" si="4"/>
        <v>3000</v>
      </c>
      <c r="M23" s="6" t="str" cm="1">
        <f t="array" ref="M23">_xlfn.XLOOKUP(Orders!C23,Customers!A24:A223,Customers!G24:'Customers'!G223,"Not Found")</f>
        <v>Riya Banerjee</v>
      </c>
      <c r="N23" s="4" t="str">
        <f t="shared" si="5"/>
        <v>Medium</v>
      </c>
      <c r="O23" t="s">
        <v>1021</v>
      </c>
      <c r="P23" t="s">
        <v>1063</v>
      </c>
      <c r="Q23" t="s">
        <v>609</v>
      </c>
      <c r="R23" t="s">
        <v>613</v>
      </c>
    </row>
    <row r="24" spans="1:18" x14ac:dyDescent="0.35">
      <c r="A24" t="s">
        <v>29</v>
      </c>
      <c r="B24" s="1">
        <v>45672</v>
      </c>
      <c r="C24" t="s">
        <v>229</v>
      </c>
      <c r="D24" t="s">
        <v>429</v>
      </c>
      <c r="E24">
        <v>3</v>
      </c>
      <c r="F24" s="6">
        <v>3000</v>
      </c>
      <c r="G24" s="6">
        <f t="shared" si="1"/>
        <v>9000</v>
      </c>
      <c r="H24" s="2">
        <v>0.05</v>
      </c>
      <c r="I24" s="6">
        <f t="shared" si="2"/>
        <v>450</v>
      </c>
      <c r="J24" s="6">
        <f t="shared" si="0"/>
        <v>3600</v>
      </c>
      <c r="K24" s="6">
        <f t="shared" si="3"/>
        <v>12150</v>
      </c>
      <c r="L24" s="6">
        <f t="shared" si="4"/>
        <v>3150</v>
      </c>
      <c r="M24" s="6" t="str" cm="1">
        <f t="array" ref="M24">_xlfn.XLOOKUP(Orders!C24,Customers!A25:A224,Customers!G25:'Customers'!G224,"Not Found")</f>
        <v>Dev Vohra</v>
      </c>
      <c r="N24" s="4" t="str">
        <f t="shared" si="5"/>
        <v>Medium</v>
      </c>
      <c r="O24" t="s">
        <v>1022</v>
      </c>
      <c r="P24" t="s">
        <v>1050</v>
      </c>
      <c r="Q24" t="s">
        <v>614</v>
      </c>
      <c r="R24" t="s">
        <v>610</v>
      </c>
    </row>
    <row r="25" spans="1:18" x14ac:dyDescent="0.35">
      <c r="A25" t="s">
        <v>30</v>
      </c>
      <c r="B25" s="1">
        <v>45672</v>
      </c>
      <c r="C25" t="s">
        <v>230</v>
      </c>
      <c r="D25" t="s">
        <v>430</v>
      </c>
      <c r="E25">
        <v>2</v>
      </c>
      <c r="F25" s="6">
        <v>200</v>
      </c>
      <c r="G25" s="6">
        <f t="shared" si="1"/>
        <v>400</v>
      </c>
      <c r="H25" s="2">
        <v>0</v>
      </c>
      <c r="I25" s="6">
        <f t="shared" si="2"/>
        <v>0</v>
      </c>
      <c r="J25" s="6">
        <f t="shared" si="0"/>
        <v>160</v>
      </c>
      <c r="K25" s="6">
        <f t="shared" si="3"/>
        <v>560</v>
      </c>
      <c r="L25" s="6">
        <f t="shared" si="4"/>
        <v>160</v>
      </c>
      <c r="M25" s="6" t="str" cm="1">
        <f t="array" ref="M25">_xlfn.XLOOKUP(Orders!C25,Customers!A26:A225,Customers!G26:'Customers'!G225,"Not Found")</f>
        <v>Nisha Sharma</v>
      </c>
      <c r="N25" s="4" t="str">
        <f t="shared" si="5"/>
        <v>Micro</v>
      </c>
      <c r="O25" t="s">
        <v>1013</v>
      </c>
      <c r="P25" t="s">
        <v>1064</v>
      </c>
      <c r="Q25" t="s">
        <v>612</v>
      </c>
      <c r="R25" t="s">
        <v>610</v>
      </c>
    </row>
    <row r="26" spans="1:18" x14ac:dyDescent="0.35">
      <c r="A26" t="s">
        <v>31</v>
      </c>
      <c r="B26" s="1">
        <v>45672</v>
      </c>
      <c r="C26" t="s">
        <v>231</v>
      </c>
      <c r="D26" t="s">
        <v>431</v>
      </c>
      <c r="E26">
        <v>1</v>
      </c>
      <c r="F26" s="6">
        <v>8000</v>
      </c>
      <c r="G26" s="6">
        <f t="shared" si="1"/>
        <v>8000</v>
      </c>
      <c r="H26" s="2">
        <v>0.08</v>
      </c>
      <c r="I26" s="6">
        <f t="shared" si="2"/>
        <v>640</v>
      </c>
      <c r="J26" s="6">
        <f t="shared" si="0"/>
        <v>3200</v>
      </c>
      <c r="K26" s="6">
        <f t="shared" si="3"/>
        <v>10560</v>
      </c>
      <c r="L26" s="6">
        <f t="shared" si="4"/>
        <v>2560</v>
      </c>
      <c r="M26" s="6" t="str" cm="1">
        <f t="array" ref="M26">_xlfn.XLOOKUP(Orders!C26,Customers!A27:A226,Customers!G27:'Customers'!G226,"Not Found")</f>
        <v>Siddharth Bansal</v>
      </c>
      <c r="N26" s="4" t="str">
        <f t="shared" si="5"/>
        <v>Medium</v>
      </c>
      <c r="O26" t="s">
        <v>1013</v>
      </c>
      <c r="P26" t="s">
        <v>1065</v>
      </c>
      <c r="Q26" t="s">
        <v>609</v>
      </c>
      <c r="R26" t="s">
        <v>613</v>
      </c>
    </row>
    <row r="27" spans="1:18" x14ac:dyDescent="0.35">
      <c r="A27" t="s">
        <v>32</v>
      </c>
      <c r="B27" s="1">
        <v>45672</v>
      </c>
      <c r="C27" t="s">
        <v>232</v>
      </c>
      <c r="D27" t="s">
        <v>432</v>
      </c>
      <c r="E27">
        <v>4</v>
      </c>
      <c r="F27" s="6">
        <v>1250</v>
      </c>
      <c r="G27" s="6">
        <f t="shared" si="1"/>
        <v>5000</v>
      </c>
      <c r="H27" s="2">
        <v>0.02</v>
      </c>
      <c r="I27" s="6">
        <f t="shared" si="2"/>
        <v>100</v>
      </c>
      <c r="J27" s="6">
        <f t="shared" si="0"/>
        <v>2000</v>
      </c>
      <c r="K27" s="6">
        <f t="shared" si="3"/>
        <v>6900</v>
      </c>
      <c r="L27" s="6">
        <f t="shared" si="4"/>
        <v>1900</v>
      </c>
      <c r="M27" s="6" t="str" cm="1">
        <f t="array" ref="M27">_xlfn.XLOOKUP(Orders!C27,Customers!A28:A227,Customers!G28:'Customers'!G227,"Not Found")</f>
        <v>Pooja Chopra</v>
      </c>
      <c r="N27" s="4" t="str">
        <f t="shared" si="5"/>
        <v>Small</v>
      </c>
      <c r="O27" t="s">
        <v>1013</v>
      </c>
      <c r="P27" t="s">
        <v>1064</v>
      </c>
      <c r="Q27" t="s">
        <v>612</v>
      </c>
      <c r="R27" t="s">
        <v>613</v>
      </c>
    </row>
    <row r="28" spans="1:18" x14ac:dyDescent="0.35">
      <c r="A28" t="s">
        <v>33</v>
      </c>
      <c r="B28" s="1">
        <v>45672</v>
      </c>
      <c r="C28" t="s">
        <v>233</v>
      </c>
      <c r="D28" t="s">
        <v>433</v>
      </c>
      <c r="E28">
        <v>2</v>
      </c>
      <c r="F28" s="6">
        <v>3000</v>
      </c>
      <c r="G28" s="6">
        <f t="shared" si="1"/>
        <v>6000</v>
      </c>
      <c r="H28" s="2">
        <v>0.05</v>
      </c>
      <c r="I28" s="6">
        <f t="shared" si="2"/>
        <v>300</v>
      </c>
      <c r="J28" s="6">
        <f t="shared" si="0"/>
        <v>2400</v>
      </c>
      <c r="K28" s="6">
        <f t="shared" si="3"/>
        <v>8100</v>
      </c>
      <c r="L28" s="6">
        <f t="shared" si="4"/>
        <v>2100</v>
      </c>
      <c r="M28" s="6" t="str" cm="1">
        <f t="array" ref="M28">_xlfn.XLOOKUP(Orders!C28,Customers!A29:A228,Customers!G29:'Customers'!G228,"Not Found")</f>
        <v>Varun Sethi</v>
      </c>
      <c r="N28" s="4" t="str">
        <f t="shared" si="5"/>
        <v>Small</v>
      </c>
      <c r="O28" t="s">
        <v>1018</v>
      </c>
      <c r="P28" t="s">
        <v>1062</v>
      </c>
      <c r="Q28" t="s">
        <v>609</v>
      </c>
      <c r="R28" t="s">
        <v>613</v>
      </c>
    </row>
    <row r="29" spans="1:18" x14ac:dyDescent="0.35">
      <c r="A29" t="s">
        <v>34</v>
      </c>
      <c r="B29" s="1">
        <v>45673</v>
      </c>
      <c r="C29" t="s">
        <v>234</v>
      </c>
      <c r="D29" t="s">
        <v>434</v>
      </c>
      <c r="E29">
        <v>4</v>
      </c>
      <c r="F29" s="6">
        <v>4000</v>
      </c>
      <c r="G29" s="6">
        <f t="shared" si="1"/>
        <v>16000</v>
      </c>
      <c r="H29" s="2">
        <v>0.1</v>
      </c>
      <c r="I29" s="6">
        <f t="shared" si="2"/>
        <v>1600</v>
      </c>
      <c r="J29" s="6">
        <f t="shared" si="0"/>
        <v>6400</v>
      </c>
      <c r="K29" s="6">
        <f t="shared" si="3"/>
        <v>20800</v>
      </c>
      <c r="L29" s="6">
        <f t="shared" si="4"/>
        <v>4800</v>
      </c>
      <c r="M29" s="6" t="str" cm="1">
        <f t="array" ref="M29">_xlfn.XLOOKUP(Orders!C29,Customers!A30:A229,Customers!G30:'Customers'!G229,"Not Found")</f>
        <v>Simran Jain</v>
      </c>
      <c r="N29" s="4" t="str">
        <f t="shared" si="5"/>
        <v>Medium</v>
      </c>
      <c r="O29" t="s">
        <v>1017</v>
      </c>
      <c r="P29" t="s">
        <v>1060</v>
      </c>
      <c r="Q29" t="s">
        <v>614</v>
      </c>
      <c r="R29" t="s">
        <v>613</v>
      </c>
    </row>
    <row r="30" spans="1:18" x14ac:dyDescent="0.35">
      <c r="A30" t="s">
        <v>35</v>
      </c>
      <c r="B30" s="1">
        <v>45674</v>
      </c>
      <c r="C30" t="s">
        <v>235</v>
      </c>
      <c r="D30" t="s">
        <v>435</v>
      </c>
      <c r="E30">
        <v>2</v>
      </c>
      <c r="F30" s="6">
        <v>5000</v>
      </c>
      <c r="G30" s="6">
        <f t="shared" si="1"/>
        <v>10000</v>
      </c>
      <c r="H30" s="2">
        <v>0</v>
      </c>
      <c r="I30" s="6">
        <f t="shared" si="2"/>
        <v>0</v>
      </c>
      <c r="J30" s="6">
        <f t="shared" si="0"/>
        <v>4000</v>
      </c>
      <c r="K30" s="6">
        <f t="shared" si="3"/>
        <v>14000</v>
      </c>
      <c r="L30" s="6">
        <f t="shared" si="4"/>
        <v>4000</v>
      </c>
      <c r="M30" s="6" t="str" cm="1">
        <f t="array" ref="M30">_xlfn.XLOOKUP(Orders!C30,Customers!A31:A230,Customers!G31:'Customers'!G230,"Not Found")</f>
        <v>Aniket Mukherjee</v>
      </c>
      <c r="N30" s="4" t="str">
        <f t="shared" si="5"/>
        <v>Medium</v>
      </c>
      <c r="O30" t="s">
        <v>1023</v>
      </c>
      <c r="P30" t="s">
        <v>1062</v>
      </c>
      <c r="Q30" t="s">
        <v>609</v>
      </c>
      <c r="R30" t="s">
        <v>610</v>
      </c>
    </row>
    <row r="31" spans="1:18" x14ac:dyDescent="0.35">
      <c r="A31" t="s">
        <v>36</v>
      </c>
      <c r="B31" s="1">
        <v>45675</v>
      </c>
      <c r="C31" t="s">
        <v>236</v>
      </c>
      <c r="D31" t="s">
        <v>436</v>
      </c>
      <c r="E31">
        <v>6</v>
      </c>
      <c r="F31" s="6">
        <v>6000</v>
      </c>
      <c r="G31" s="6">
        <f t="shared" si="1"/>
        <v>36000</v>
      </c>
      <c r="H31" s="2">
        <v>0.25</v>
      </c>
      <c r="I31" s="6">
        <f t="shared" si="2"/>
        <v>9000</v>
      </c>
      <c r="J31" s="6">
        <f t="shared" si="0"/>
        <v>14400</v>
      </c>
      <c r="K31" s="6">
        <f t="shared" si="3"/>
        <v>41400</v>
      </c>
      <c r="L31" s="6">
        <f t="shared" si="4"/>
        <v>5400</v>
      </c>
      <c r="M31" s="6" t="str" cm="1">
        <f t="array" ref="M31">_xlfn.XLOOKUP(Orders!C31,Customers!A32:A231,Customers!G32:'Customers'!G231,"Not Found")</f>
        <v>Tanvi Dubey</v>
      </c>
      <c r="N31" s="4" t="str">
        <f t="shared" si="5"/>
        <v>Large</v>
      </c>
      <c r="O31" t="s">
        <v>1015</v>
      </c>
      <c r="P31" t="s">
        <v>1062</v>
      </c>
      <c r="Q31" t="s">
        <v>615</v>
      </c>
      <c r="R31" t="s">
        <v>610</v>
      </c>
    </row>
    <row r="32" spans="1:18" x14ac:dyDescent="0.35">
      <c r="A32" t="s">
        <v>37</v>
      </c>
      <c r="B32" s="1">
        <v>45676</v>
      </c>
      <c r="C32" t="s">
        <v>237</v>
      </c>
      <c r="D32" t="s">
        <v>437</v>
      </c>
      <c r="E32">
        <v>3</v>
      </c>
      <c r="F32" s="6">
        <v>12000</v>
      </c>
      <c r="G32" s="6">
        <f t="shared" si="1"/>
        <v>36000</v>
      </c>
      <c r="H32" s="2">
        <v>0.1</v>
      </c>
      <c r="I32" s="6">
        <f t="shared" si="2"/>
        <v>3600</v>
      </c>
      <c r="J32" s="6">
        <f t="shared" si="0"/>
        <v>14400</v>
      </c>
      <c r="K32" s="6">
        <f t="shared" si="3"/>
        <v>46800</v>
      </c>
      <c r="L32" s="6">
        <f t="shared" si="4"/>
        <v>10800</v>
      </c>
      <c r="M32" s="6" t="str" cm="1">
        <f t="array" ref="M32">_xlfn.XLOOKUP(Orders!C32,Customers!A33:A232,Customers!G33:'Customers'!G232,"Not Found")</f>
        <v>Manav Naidu</v>
      </c>
      <c r="N32" s="4" t="str">
        <f t="shared" si="5"/>
        <v>Large</v>
      </c>
      <c r="O32" t="s">
        <v>1024</v>
      </c>
      <c r="P32" t="s">
        <v>1053</v>
      </c>
      <c r="Q32" t="s">
        <v>614</v>
      </c>
      <c r="R32" t="s">
        <v>613</v>
      </c>
    </row>
    <row r="33" spans="1:18" x14ac:dyDescent="0.35">
      <c r="A33" t="s">
        <v>38</v>
      </c>
      <c r="B33" s="1">
        <v>45677</v>
      </c>
      <c r="C33" t="s">
        <v>238</v>
      </c>
      <c r="D33" t="s">
        <v>438</v>
      </c>
      <c r="E33">
        <v>2</v>
      </c>
      <c r="F33" s="6">
        <v>15000</v>
      </c>
      <c r="G33" s="6">
        <f t="shared" si="1"/>
        <v>30000</v>
      </c>
      <c r="H33" s="2">
        <v>0.25</v>
      </c>
      <c r="I33" s="6">
        <f t="shared" si="2"/>
        <v>7500</v>
      </c>
      <c r="J33" s="6">
        <f t="shared" si="0"/>
        <v>12000</v>
      </c>
      <c r="K33" s="6">
        <f t="shared" si="3"/>
        <v>34500</v>
      </c>
      <c r="L33" s="6">
        <f t="shared" si="4"/>
        <v>4500</v>
      </c>
      <c r="M33" s="6" t="str" cm="1">
        <f t="array" ref="M33">_xlfn.XLOOKUP(Orders!C33,Customers!A34:A233,Customers!G34:'Customers'!G233,"Not Found")</f>
        <v>Shreya Malhotra</v>
      </c>
      <c r="N33" s="4" t="str">
        <f t="shared" si="5"/>
        <v>Large</v>
      </c>
      <c r="O33" t="s">
        <v>1011</v>
      </c>
      <c r="P33" t="s">
        <v>1053</v>
      </c>
      <c r="Q33" t="s">
        <v>615</v>
      </c>
      <c r="R33" t="s">
        <v>613</v>
      </c>
    </row>
    <row r="34" spans="1:18" x14ac:dyDescent="0.35">
      <c r="A34" t="s">
        <v>39</v>
      </c>
      <c r="B34" s="1">
        <v>45678</v>
      </c>
      <c r="C34" t="s">
        <v>239</v>
      </c>
      <c r="D34" t="s">
        <v>439</v>
      </c>
      <c r="E34">
        <v>1</v>
      </c>
      <c r="F34" s="6">
        <v>31000</v>
      </c>
      <c r="G34" s="6">
        <f t="shared" si="1"/>
        <v>31000</v>
      </c>
      <c r="H34" s="2">
        <v>0.25</v>
      </c>
      <c r="I34" s="6">
        <f t="shared" si="2"/>
        <v>7750</v>
      </c>
      <c r="J34" s="6">
        <f t="shared" si="0"/>
        <v>12400</v>
      </c>
      <c r="K34" s="6">
        <f t="shared" si="3"/>
        <v>35650</v>
      </c>
      <c r="L34" s="6">
        <f t="shared" si="4"/>
        <v>4650</v>
      </c>
      <c r="M34" s="6" t="str" cm="1">
        <f t="array" ref="M34">_xlfn.XLOOKUP(Orders!C34,Customers!A35:A234,Customers!G35:'Customers'!G234,"Not Found")</f>
        <v>Vivaan Joshi</v>
      </c>
      <c r="N34" s="4" t="str">
        <f t="shared" si="5"/>
        <v>Large</v>
      </c>
      <c r="O34" t="s">
        <v>1013</v>
      </c>
      <c r="P34" t="s">
        <v>1066</v>
      </c>
      <c r="Q34" t="s">
        <v>615</v>
      </c>
      <c r="R34" t="s">
        <v>613</v>
      </c>
    </row>
    <row r="35" spans="1:18" x14ac:dyDescent="0.35">
      <c r="A35" t="s">
        <v>40</v>
      </c>
      <c r="B35" s="1">
        <v>45679</v>
      </c>
      <c r="C35" t="s">
        <v>240</v>
      </c>
      <c r="D35" t="s">
        <v>440</v>
      </c>
      <c r="E35">
        <v>7</v>
      </c>
      <c r="F35" s="6">
        <v>700</v>
      </c>
      <c r="G35" s="6">
        <f t="shared" si="1"/>
        <v>4900</v>
      </c>
      <c r="H35" s="2">
        <v>0.05</v>
      </c>
      <c r="I35" s="6">
        <f t="shared" si="2"/>
        <v>245</v>
      </c>
      <c r="J35" s="6">
        <f t="shared" si="0"/>
        <v>1960</v>
      </c>
      <c r="K35" s="6">
        <f t="shared" si="3"/>
        <v>6615</v>
      </c>
      <c r="L35" s="6">
        <f t="shared" si="4"/>
        <v>1715</v>
      </c>
      <c r="M35" s="6" t="str" cm="1">
        <f t="array" ref="M35">_xlfn.XLOOKUP(Orders!C35,Customers!A36:A235,Customers!G36:'Customers'!G235,"Not Found")</f>
        <v>Avni Chawla</v>
      </c>
      <c r="N35" s="4" t="str">
        <f t="shared" si="5"/>
        <v>Small</v>
      </c>
      <c r="O35" t="s">
        <v>1025</v>
      </c>
      <c r="P35" t="s">
        <v>1066</v>
      </c>
      <c r="Q35" t="s">
        <v>612</v>
      </c>
      <c r="R35" t="s">
        <v>610</v>
      </c>
    </row>
    <row r="36" spans="1:18" x14ac:dyDescent="0.35">
      <c r="A36" t="s">
        <v>41</v>
      </c>
      <c r="B36" s="1">
        <v>45679</v>
      </c>
      <c r="C36" t="s">
        <v>241</v>
      </c>
      <c r="D36" t="s">
        <v>441</v>
      </c>
      <c r="E36">
        <v>8</v>
      </c>
      <c r="F36" s="6">
        <v>1000</v>
      </c>
      <c r="G36" s="6">
        <f t="shared" si="1"/>
        <v>8000</v>
      </c>
      <c r="H36" s="2">
        <v>0.05</v>
      </c>
      <c r="I36" s="6">
        <f t="shared" si="2"/>
        <v>400</v>
      </c>
      <c r="J36" s="6">
        <f t="shared" ref="J36:J67" si="6">G36*0.4</f>
        <v>3200</v>
      </c>
      <c r="K36" s="6">
        <f t="shared" si="3"/>
        <v>10800</v>
      </c>
      <c r="L36" s="6">
        <f t="shared" si="4"/>
        <v>2800</v>
      </c>
      <c r="M36" s="6" t="str" cm="1">
        <f t="array" ref="M36">_xlfn.XLOOKUP(Orders!C36,Customers!A37:A236,Customers!G37:'Customers'!G236,"Not Found")</f>
        <v>Reyansh Goyal</v>
      </c>
      <c r="N36" s="4" t="str">
        <f t="shared" si="5"/>
        <v>Medium</v>
      </c>
      <c r="O36" t="s">
        <v>1013</v>
      </c>
      <c r="P36" t="s">
        <v>1066</v>
      </c>
      <c r="Q36" t="s">
        <v>609</v>
      </c>
      <c r="R36" t="s">
        <v>610</v>
      </c>
    </row>
    <row r="37" spans="1:18" x14ac:dyDescent="0.35">
      <c r="A37" t="s">
        <v>42</v>
      </c>
      <c r="B37" s="1">
        <v>45679</v>
      </c>
      <c r="C37" t="s">
        <v>242</v>
      </c>
      <c r="D37" t="s">
        <v>442</v>
      </c>
      <c r="E37">
        <v>9</v>
      </c>
      <c r="F37" s="6">
        <v>900</v>
      </c>
      <c r="G37" s="6">
        <f t="shared" si="1"/>
        <v>8100</v>
      </c>
      <c r="H37" s="2">
        <v>0</v>
      </c>
      <c r="I37" s="6">
        <f t="shared" si="2"/>
        <v>0</v>
      </c>
      <c r="J37" s="6">
        <f t="shared" si="6"/>
        <v>3240</v>
      </c>
      <c r="K37" s="6">
        <f t="shared" si="3"/>
        <v>11340</v>
      </c>
      <c r="L37" s="6">
        <f t="shared" si="4"/>
        <v>3240</v>
      </c>
      <c r="M37" s="6" t="str" cm="1">
        <f t="array" ref="M37">_xlfn.XLOOKUP(Orders!C37,Customers!A38:A237,Customers!G38:'Customers'!G237,"Not Found")</f>
        <v>Myra Pillai</v>
      </c>
      <c r="N37" s="4" t="str">
        <f t="shared" si="5"/>
        <v>Medium</v>
      </c>
      <c r="O37" t="s">
        <v>1013</v>
      </c>
      <c r="P37" t="s">
        <v>1066</v>
      </c>
      <c r="Q37" t="s">
        <v>609</v>
      </c>
      <c r="R37" t="s">
        <v>613</v>
      </c>
    </row>
    <row r="38" spans="1:18" x14ac:dyDescent="0.35">
      <c r="A38" t="s">
        <v>43</v>
      </c>
      <c r="B38" s="1">
        <v>45680</v>
      </c>
      <c r="C38" t="s">
        <v>243</v>
      </c>
      <c r="D38" t="s">
        <v>443</v>
      </c>
      <c r="E38">
        <v>10</v>
      </c>
      <c r="F38" s="6">
        <v>10000</v>
      </c>
      <c r="G38" s="6">
        <f t="shared" si="1"/>
        <v>100000</v>
      </c>
      <c r="H38" s="2">
        <v>0.15</v>
      </c>
      <c r="I38" s="6">
        <f t="shared" si="2"/>
        <v>15000</v>
      </c>
      <c r="J38" s="6">
        <f t="shared" si="6"/>
        <v>40000</v>
      </c>
      <c r="K38" s="6">
        <f t="shared" si="3"/>
        <v>125000</v>
      </c>
      <c r="L38" s="6">
        <f t="shared" si="4"/>
        <v>25000</v>
      </c>
      <c r="M38" s="6" t="str" cm="1">
        <f t="array" ref="M38">_xlfn.XLOOKUP(Orders!C38,Customers!A39:A238,Customers!G39:'Customers'!G238,"Not Found")</f>
        <v>Krish Tripathi</v>
      </c>
      <c r="N38" s="4" t="str">
        <f t="shared" si="5"/>
        <v>Industrial</v>
      </c>
      <c r="O38" t="s">
        <v>1013</v>
      </c>
      <c r="P38" t="s">
        <v>1066</v>
      </c>
      <c r="Q38" t="s">
        <v>609</v>
      </c>
      <c r="R38" t="s">
        <v>613</v>
      </c>
    </row>
    <row r="39" spans="1:18" x14ac:dyDescent="0.35">
      <c r="A39" t="s">
        <v>44</v>
      </c>
      <c r="B39" s="1">
        <v>45680</v>
      </c>
      <c r="C39" t="s">
        <v>244</v>
      </c>
      <c r="D39" t="s">
        <v>444</v>
      </c>
      <c r="E39">
        <v>11</v>
      </c>
      <c r="F39" s="6">
        <v>1200</v>
      </c>
      <c r="G39" s="6">
        <f t="shared" si="1"/>
        <v>13200</v>
      </c>
      <c r="H39" s="2">
        <v>0.1</v>
      </c>
      <c r="I39" s="6">
        <f t="shared" si="2"/>
        <v>1320</v>
      </c>
      <c r="J39" s="6">
        <f t="shared" si="6"/>
        <v>5280</v>
      </c>
      <c r="K39" s="6">
        <f t="shared" si="3"/>
        <v>17160</v>
      </c>
      <c r="L39" s="6">
        <f t="shared" si="4"/>
        <v>3960</v>
      </c>
      <c r="M39" s="6" t="str" cm="1">
        <f t="array" ref="M39">_xlfn.XLOOKUP(Orders!C39,Customers!A40:A239,Customers!G40:'Customers'!G239,"Not Found")</f>
        <v>Kiara Bhatt</v>
      </c>
      <c r="N39" s="4" t="str">
        <f t="shared" si="5"/>
        <v>Medium</v>
      </c>
      <c r="O39" t="s">
        <v>1022</v>
      </c>
      <c r="P39" t="s">
        <v>1066</v>
      </c>
      <c r="Q39" t="s">
        <v>609</v>
      </c>
      <c r="R39" t="s">
        <v>613</v>
      </c>
    </row>
    <row r="40" spans="1:18" x14ac:dyDescent="0.35">
      <c r="A40" t="s">
        <v>45</v>
      </c>
      <c r="B40" s="1">
        <v>45680</v>
      </c>
      <c r="C40" t="s">
        <v>245</v>
      </c>
      <c r="D40" t="s">
        <v>445</v>
      </c>
      <c r="E40">
        <v>12</v>
      </c>
      <c r="F40" s="6">
        <v>2400</v>
      </c>
      <c r="G40" s="6">
        <f t="shared" si="1"/>
        <v>28800</v>
      </c>
      <c r="H40" s="2">
        <v>0.12</v>
      </c>
      <c r="I40" s="6">
        <f t="shared" si="2"/>
        <v>3456</v>
      </c>
      <c r="J40" s="6">
        <f t="shared" si="6"/>
        <v>11520</v>
      </c>
      <c r="K40" s="6">
        <f t="shared" si="3"/>
        <v>36864</v>
      </c>
      <c r="L40" s="6">
        <f t="shared" si="4"/>
        <v>8064</v>
      </c>
      <c r="M40" s="6" t="str" cm="1">
        <f t="array" ref="M40">_xlfn.XLOOKUP(Orders!C40,Customers!A41:A240,Customers!G41:'Customers'!G240,"Not Found")</f>
        <v>Atharv Kapoor</v>
      </c>
      <c r="N40" s="4" t="str">
        <f t="shared" si="5"/>
        <v>Large</v>
      </c>
      <c r="O40" t="s">
        <v>1022</v>
      </c>
      <c r="P40" t="s">
        <v>1066</v>
      </c>
      <c r="Q40" t="s">
        <v>609</v>
      </c>
      <c r="R40" t="s">
        <v>610</v>
      </c>
    </row>
    <row r="41" spans="1:18" x14ac:dyDescent="0.35">
      <c r="A41" t="s">
        <v>46</v>
      </c>
      <c r="B41" s="1">
        <v>45680</v>
      </c>
      <c r="C41" t="s">
        <v>246</v>
      </c>
      <c r="D41" t="s">
        <v>446</v>
      </c>
      <c r="E41">
        <v>13</v>
      </c>
      <c r="F41" s="6">
        <v>2600</v>
      </c>
      <c r="G41" s="6">
        <f t="shared" si="1"/>
        <v>33800</v>
      </c>
      <c r="H41" s="2">
        <v>0.14000000000000001</v>
      </c>
      <c r="I41" s="6">
        <f t="shared" si="2"/>
        <v>4732</v>
      </c>
      <c r="J41" s="6">
        <f t="shared" si="6"/>
        <v>13520</v>
      </c>
      <c r="K41" s="6">
        <f t="shared" si="3"/>
        <v>42588</v>
      </c>
      <c r="L41" s="6">
        <f t="shared" si="4"/>
        <v>8788</v>
      </c>
      <c r="M41" s="6" t="str" cm="1">
        <f t="array" ref="M41">_xlfn.XLOOKUP(Orders!C41,Customers!A42:A241,Customers!G42:'Customers'!G241,"Not Found")</f>
        <v>Anika Nair</v>
      </c>
      <c r="N41" s="4" t="str">
        <f t="shared" si="5"/>
        <v>Large</v>
      </c>
      <c r="O41" t="s">
        <v>1013</v>
      </c>
      <c r="P41" t="s">
        <v>1066</v>
      </c>
      <c r="Q41" t="s">
        <v>609</v>
      </c>
      <c r="R41" t="s">
        <v>610</v>
      </c>
    </row>
    <row r="42" spans="1:18" x14ac:dyDescent="0.35">
      <c r="A42" t="s">
        <v>47</v>
      </c>
      <c r="B42" s="1">
        <v>45680</v>
      </c>
      <c r="C42" t="s">
        <v>247</v>
      </c>
      <c r="D42" t="s">
        <v>447</v>
      </c>
      <c r="E42">
        <v>14</v>
      </c>
      <c r="F42" s="6">
        <v>2800</v>
      </c>
      <c r="G42" s="6">
        <f t="shared" si="1"/>
        <v>39200</v>
      </c>
      <c r="H42" s="2">
        <v>0.16</v>
      </c>
      <c r="I42" s="6">
        <f t="shared" si="2"/>
        <v>6272</v>
      </c>
      <c r="J42" s="6">
        <f t="shared" si="6"/>
        <v>15680</v>
      </c>
      <c r="K42" s="6">
        <f t="shared" si="3"/>
        <v>48608</v>
      </c>
      <c r="L42" s="6">
        <f t="shared" si="4"/>
        <v>9408</v>
      </c>
      <c r="M42" s="6" t="str" cm="1">
        <f t="array" ref="M42">_xlfn.XLOOKUP(Orders!C42,Customers!A43:A242,Customers!G43:'Customers'!G242,"Not Found")</f>
        <v>Dhruv Rao</v>
      </c>
      <c r="N42" s="4" t="str">
        <f t="shared" si="5"/>
        <v>Large</v>
      </c>
      <c r="O42" t="s">
        <v>1027</v>
      </c>
      <c r="P42" t="s">
        <v>1066</v>
      </c>
      <c r="Q42" t="s">
        <v>609</v>
      </c>
      <c r="R42" t="s">
        <v>610</v>
      </c>
    </row>
    <row r="43" spans="1:18" x14ac:dyDescent="0.35">
      <c r="A43" t="s">
        <v>48</v>
      </c>
      <c r="B43" s="1">
        <v>45680</v>
      </c>
      <c r="C43" t="s">
        <v>248</v>
      </c>
      <c r="D43" t="s">
        <v>448</v>
      </c>
      <c r="E43">
        <v>11</v>
      </c>
      <c r="F43" s="6">
        <v>1175</v>
      </c>
      <c r="G43" s="6">
        <f t="shared" si="1"/>
        <v>12925</v>
      </c>
      <c r="H43" s="2">
        <v>0.1</v>
      </c>
      <c r="I43" s="6">
        <f t="shared" si="2"/>
        <v>1292.5</v>
      </c>
      <c r="J43" s="6">
        <f t="shared" si="6"/>
        <v>5170</v>
      </c>
      <c r="K43" s="6">
        <f t="shared" si="3"/>
        <v>16802.5</v>
      </c>
      <c r="L43" s="6">
        <f t="shared" si="4"/>
        <v>3877.5</v>
      </c>
      <c r="M43" s="6" t="str" cm="1">
        <f t="array" ref="M43">_xlfn.XLOOKUP(Orders!C43,Customers!A44:A243,Customers!G44:'Customers'!G243,"Not Found")</f>
        <v>Saanvi Bhatia</v>
      </c>
      <c r="N43" s="4" t="str">
        <f t="shared" si="5"/>
        <v>Medium</v>
      </c>
      <c r="O43" t="s">
        <v>1030</v>
      </c>
      <c r="P43" t="s">
        <v>1066</v>
      </c>
      <c r="Q43" t="s">
        <v>609</v>
      </c>
      <c r="R43" t="s">
        <v>610</v>
      </c>
    </row>
    <row r="44" spans="1:18" x14ac:dyDescent="0.35">
      <c r="A44" t="s">
        <v>49</v>
      </c>
      <c r="B44" s="1">
        <v>45681</v>
      </c>
      <c r="C44" t="s">
        <v>249</v>
      </c>
      <c r="D44" t="s">
        <v>449</v>
      </c>
      <c r="E44">
        <v>1</v>
      </c>
      <c r="F44" s="6">
        <v>45000</v>
      </c>
      <c r="G44" s="6">
        <f t="shared" si="1"/>
        <v>45000</v>
      </c>
      <c r="H44" s="2">
        <v>0.25</v>
      </c>
      <c r="I44" s="6">
        <f t="shared" si="2"/>
        <v>11250</v>
      </c>
      <c r="J44" s="6">
        <f t="shared" si="6"/>
        <v>18000</v>
      </c>
      <c r="K44" s="6">
        <f t="shared" si="3"/>
        <v>51750</v>
      </c>
      <c r="L44" s="6">
        <f t="shared" si="4"/>
        <v>6750</v>
      </c>
      <c r="M44" s="6" t="str" cm="1">
        <f t="array" ref="M44">_xlfn.XLOOKUP(Orders!C44,Customers!A45:A244,Customers!G45:'Customers'!G244,"Not Found")</f>
        <v>Rudra Menon</v>
      </c>
      <c r="N44" s="4" t="str">
        <f t="shared" si="5"/>
        <v>Large</v>
      </c>
      <c r="O44" t="s">
        <v>1024</v>
      </c>
      <c r="P44" t="s">
        <v>1066</v>
      </c>
      <c r="Q44" t="s">
        <v>609</v>
      </c>
      <c r="R44" t="s">
        <v>610</v>
      </c>
    </row>
    <row r="45" spans="1:18" x14ac:dyDescent="0.35">
      <c r="A45" t="s">
        <v>50</v>
      </c>
      <c r="B45" s="1">
        <v>45681</v>
      </c>
      <c r="C45" t="s">
        <v>250</v>
      </c>
      <c r="D45" t="s">
        <v>450</v>
      </c>
      <c r="E45">
        <v>2</v>
      </c>
      <c r="F45" s="6">
        <v>70000</v>
      </c>
      <c r="G45" s="6">
        <f t="shared" si="1"/>
        <v>140000</v>
      </c>
      <c r="H45" s="2">
        <v>0.25</v>
      </c>
      <c r="I45" s="6">
        <f t="shared" si="2"/>
        <v>35000</v>
      </c>
      <c r="J45" s="6">
        <f t="shared" si="6"/>
        <v>56000</v>
      </c>
      <c r="K45" s="6">
        <f t="shared" si="3"/>
        <v>161000</v>
      </c>
      <c r="L45" s="6">
        <f t="shared" si="4"/>
        <v>21000</v>
      </c>
      <c r="M45" s="6" t="str" cm="1">
        <f t="array" ref="M45">_xlfn.XLOOKUP(Orders!C45,Customers!A46:A245,Customers!G46:'Customers'!G245,"Not Found")</f>
        <v>Navya Shukla</v>
      </c>
      <c r="N45" s="4" t="str">
        <f t="shared" si="5"/>
        <v>Wholesale</v>
      </c>
      <c r="O45" t="s">
        <v>1017</v>
      </c>
      <c r="P45" t="s">
        <v>1062</v>
      </c>
      <c r="Q45" t="s">
        <v>615</v>
      </c>
      <c r="R45" t="s">
        <v>610</v>
      </c>
    </row>
    <row r="46" spans="1:18" x14ac:dyDescent="0.35">
      <c r="A46" t="s">
        <v>51</v>
      </c>
      <c r="B46" s="1">
        <v>45681</v>
      </c>
      <c r="C46" t="s">
        <v>251</v>
      </c>
      <c r="D46" t="s">
        <v>451</v>
      </c>
      <c r="E46">
        <v>3</v>
      </c>
      <c r="F46" s="6">
        <v>13000</v>
      </c>
      <c r="G46" s="6">
        <f t="shared" si="1"/>
        <v>39000</v>
      </c>
      <c r="H46" s="2">
        <v>0.1</v>
      </c>
      <c r="I46" s="6">
        <f t="shared" si="2"/>
        <v>3900</v>
      </c>
      <c r="J46" s="6">
        <f t="shared" si="6"/>
        <v>15600</v>
      </c>
      <c r="K46" s="6">
        <f t="shared" si="3"/>
        <v>50700</v>
      </c>
      <c r="L46" s="6">
        <f t="shared" si="4"/>
        <v>11700</v>
      </c>
      <c r="M46" s="6" t="str" cm="1">
        <f t="array" ref="M46">_xlfn.XLOOKUP(Orders!C46,Customers!A47:A246,Customers!G47:'Customers'!G246,"Not Found")</f>
        <v>Ayush Ahuja</v>
      </c>
      <c r="N46" s="4" t="str">
        <f t="shared" si="5"/>
        <v>Large</v>
      </c>
      <c r="O46" t="s">
        <v>1017</v>
      </c>
      <c r="P46" t="s">
        <v>1062</v>
      </c>
      <c r="Q46" t="s">
        <v>616</v>
      </c>
      <c r="R46" t="s">
        <v>610</v>
      </c>
    </row>
    <row r="47" spans="1:18" x14ac:dyDescent="0.35">
      <c r="A47" t="s">
        <v>52</v>
      </c>
      <c r="B47" s="1">
        <v>45681</v>
      </c>
      <c r="C47" t="s">
        <v>252</v>
      </c>
      <c r="D47" t="s">
        <v>452</v>
      </c>
      <c r="E47">
        <v>14</v>
      </c>
      <c r="F47" s="6">
        <v>14000</v>
      </c>
      <c r="G47" s="6">
        <f t="shared" si="1"/>
        <v>196000</v>
      </c>
      <c r="H47" s="2">
        <v>0.15</v>
      </c>
      <c r="I47" s="6">
        <f t="shared" si="2"/>
        <v>29400</v>
      </c>
      <c r="J47" s="6">
        <f t="shared" si="6"/>
        <v>78400</v>
      </c>
      <c r="K47" s="6">
        <f t="shared" si="3"/>
        <v>245000</v>
      </c>
      <c r="L47" s="6">
        <f t="shared" si="4"/>
        <v>49000</v>
      </c>
      <c r="M47" s="6" t="str" cm="1">
        <f t="array" ref="M47">_xlfn.XLOOKUP(Orders!C47,Customers!A48:A247,Customers!G48:'Customers'!G247,"Not Found")</f>
        <v>Tanya Singh</v>
      </c>
      <c r="N47" s="4" t="str">
        <f t="shared" si="5"/>
        <v>Wholesale</v>
      </c>
      <c r="O47" t="s">
        <v>1013</v>
      </c>
      <c r="P47" t="s">
        <v>1062</v>
      </c>
      <c r="Q47" t="s">
        <v>609</v>
      </c>
      <c r="R47" t="s">
        <v>610</v>
      </c>
    </row>
    <row r="48" spans="1:18" x14ac:dyDescent="0.35">
      <c r="A48" t="s">
        <v>53</v>
      </c>
      <c r="B48" s="1">
        <v>45681</v>
      </c>
      <c r="C48" t="s">
        <v>253</v>
      </c>
      <c r="D48" t="s">
        <v>453</v>
      </c>
      <c r="E48">
        <v>10</v>
      </c>
      <c r="F48" s="6">
        <v>25000</v>
      </c>
      <c r="G48" s="6">
        <f t="shared" si="1"/>
        <v>250000</v>
      </c>
      <c r="H48" s="2">
        <v>0.2</v>
      </c>
      <c r="I48" s="6">
        <f t="shared" si="2"/>
        <v>50000</v>
      </c>
      <c r="J48" s="6">
        <f t="shared" si="6"/>
        <v>100000</v>
      </c>
      <c r="K48" s="6">
        <f t="shared" si="3"/>
        <v>300000</v>
      </c>
      <c r="L48" s="6">
        <f t="shared" si="4"/>
        <v>50000</v>
      </c>
      <c r="M48" s="6" t="str" cm="1">
        <f t="array" ref="M48">_xlfn.XLOOKUP(Orders!C48,Customers!A49:A248,Customers!G49:'Customers'!G248,"Not Found")</f>
        <v>Arnav Reddy</v>
      </c>
      <c r="N48" s="4" t="str">
        <f t="shared" si="5"/>
        <v>Wholesale</v>
      </c>
      <c r="O48" t="s">
        <v>1013</v>
      </c>
      <c r="P48" t="s">
        <v>1062</v>
      </c>
      <c r="Q48" t="s">
        <v>609</v>
      </c>
      <c r="R48" t="s">
        <v>610</v>
      </c>
    </row>
    <row r="49" spans="1:18" x14ac:dyDescent="0.35">
      <c r="A49" t="s">
        <v>54</v>
      </c>
      <c r="B49" s="1">
        <v>45681</v>
      </c>
      <c r="C49" t="s">
        <v>254</v>
      </c>
      <c r="D49" t="s">
        <v>454</v>
      </c>
      <c r="E49">
        <v>9</v>
      </c>
      <c r="F49" s="6">
        <v>1500</v>
      </c>
      <c r="G49" s="6">
        <f t="shared" si="1"/>
        <v>13500</v>
      </c>
      <c r="H49" s="2">
        <v>0</v>
      </c>
      <c r="I49" s="6">
        <f t="shared" si="2"/>
        <v>0</v>
      </c>
      <c r="J49" s="6">
        <f t="shared" si="6"/>
        <v>5400</v>
      </c>
      <c r="K49" s="6">
        <f t="shared" si="3"/>
        <v>18900</v>
      </c>
      <c r="L49" s="6">
        <f t="shared" si="4"/>
        <v>5400</v>
      </c>
      <c r="M49" s="6" t="str" cm="1">
        <f t="array" ref="M49">_xlfn.XLOOKUP(Orders!C49,Customers!A50:A249,Customers!G50:'Customers'!G249,"Not Found")</f>
        <v>Ira Das</v>
      </c>
      <c r="N49" s="4" t="str">
        <f t="shared" si="5"/>
        <v>Medium</v>
      </c>
      <c r="O49" t="s">
        <v>1013</v>
      </c>
      <c r="P49" t="s">
        <v>1062</v>
      </c>
      <c r="Q49" t="s">
        <v>612</v>
      </c>
      <c r="R49" t="s">
        <v>610</v>
      </c>
    </row>
    <row r="50" spans="1:18" x14ac:dyDescent="0.35">
      <c r="A50" t="s">
        <v>55</v>
      </c>
      <c r="B50" s="1">
        <v>45681</v>
      </c>
      <c r="C50" t="s">
        <v>255</v>
      </c>
      <c r="D50" t="s">
        <v>455</v>
      </c>
      <c r="E50">
        <v>8</v>
      </c>
      <c r="F50" s="6">
        <v>1000</v>
      </c>
      <c r="G50" s="6">
        <f t="shared" si="1"/>
        <v>8000</v>
      </c>
      <c r="H50" s="2">
        <v>0</v>
      </c>
      <c r="I50" s="6">
        <f t="shared" si="2"/>
        <v>0</v>
      </c>
      <c r="J50" s="6">
        <f t="shared" si="6"/>
        <v>3200</v>
      </c>
      <c r="K50" s="6">
        <f t="shared" si="3"/>
        <v>11200</v>
      </c>
      <c r="L50" s="6">
        <f t="shared" si="4"/>
        <v>3200</v>
      </c>
      <c r="M50" s="6" t="str" cm="1">
        <f t="array" ref="M50">_xlfn.XLOOKUP(Orders!C50,Customers!A51:A250,Customers!G51:'Customers'!G250,"Not Found")</f>
        <v>Shaurya Arora</v>
      </c>
      <c r="N50" s="4" t="str">
        <f t="shared" si="5"/>
        <v>Medium</v>
      </c>
      <c r="O50" t="s">
        <v>1013</v>
      </c>
      <c r="P50" t="s">
        <v>1062</v>
      </c>
      <c r="Q50" t="s">
        <v>612</v>
      </c>
      <c r="R50" t="s">
        <v>610</v>
      </c>
    </row>
    <row r="51" spans="1:18" x14ac:dyDescent="0.35">
      <c r="A51" t="s">
        <v>56</v>
      </c>
      <c r="B51" s="1">
        <v>45681</v>
      </c>
      <c r="C51" t="s">
        <v>256</v>
      </c>
      <c r="D51" t="s">
        <v>456</v>
      </c>
      <c r="E51">
        <v>7</v>
      </c>
      <c r="F51" s="6">
        <v>1350</v>
      </c>
      <c r="G51" s="6">
        <f t="shared" si="1"/>
        <v>9450</v>
      </c>
      <c r="H51" s="2">
        <v>0</v>
      </c>
      <c r="I51" s="6">
        <f t="shared" si="2"/>
        <v>0</v>
      </c>
      <c r="J51" s="6">
        <f t="shared" si="6"/>
        <v>3780</v>
      </c>
      <c r="K51" s="6">
        <f t="shared" si="3"/>
        <v>13230</v>
      </c>
      <c r="L51" s="6">
        <f t="shared" si="4"/>
        <v>3780</v>
      </c>
      <c r="M51" s="6" t="str" cm="1">
        <f t="array" ref="M51">_xlfn.XLOOKUP(Orders!C51,Customers!A52:A251,Customers!G52:'Customers'!G251,"Not Found")</f>
        <v>Mahi Desai</v>
      </c>
      <c r="N51" s="4" t="str">
        <f t="shared" si="5"/>
        <v>Medium</v>
      </c>
      <c r="O51" t="s">
        <v>1015</v>
      </c>
      <c r="P51" t="s">
        <v>1062</v>
      </c>
      <c r="Q51" t="s">
        <v>612</v>
      </c>
      <c r="R51" t="s">
        <v>610</v>
      </c>
    </row>
    <row r="52" spans="1:18" x14ac:dyDescent="0.35">
      <c r="A52" t="s">
        <v>57</v>
      </c>
      <c r="B52" s="1">
        <v>45681</v>
      </c>
      <c r="C52" t="s">
        <v>257</v>
      </c>
      <c r="D52" t="s">
        <v>457</v>
      </c>
      <c r="E52">
        <v>5</v>
      </c>
      <c r="F52" s="6">
        <v>2500</v>
      </c>
      <c r="G52" s="6">
        <f t="shared" si="1"/>
        <v>12500</v>
      </c>
      <c r="H52" s="2">
        <v>0</v>
      </c>
      <c r="I52" s="6">
        <f t="shared" si="2"/>
        <v>0</v>
      </c>
      <c r="J52" s="6">
        <f t="shared" si="6"/>
        <v>5000</v>
      </c>
      <c r="K52" s="6">
        <f t="shared" si="3"/>
        <v>17500</v>
      </c>
      <c r="L52" s="6">
        <f t="shared" si="4"/>
        <v>5000</v>
      </c>
      <c r="M52" s="6" t="str" cm="1">
        <f t="array" ref="M52">_xlfn.XLOOKUP(Orders!C52,Customers!A53:A252,Customers!G53:'Customers'!G252,"Not Found")</f>
        <v>Parth Thakur</v>
      </c>
      <c r="N52" s="4" t="str">
        <f t="shared" si="5"/>
        <v>Medium</v>
      </c>
      <c r="O52" t="s">
        <v>1014</v>
      </c>
      <c r="P52" t="s">
        <v>1062</v>
      </c>
      <c r="Q52" t="s">
        <v>612</v>
      </c>
      <c r="R52" t="s">
        <v>610</v>
      </c>
    </row>
    <row r="53" spans="1:18" x14ac:dyDescent="0.35">
      <c r="A53" t="s">
        <v>58</v>
      </c>
      <c r="B53" s="1">
        <v>45681</v>
      </c>
      <c r="C53" t="s">
        <v>258</v>
      </c>
      <c r="D53" t="s">
        <v>458</v>
      </c>
      <c r="E53">
        <v>4</v>
      </c>
      <c r="F53" s="6">
        <v>4000</v>
      </c>
      <c r="G53" s="6">
        <f t="shared" si="1"/>
        <v>16000</v>
      </c>
      <c r="H53" s="2">
        <v>0</v>
      </c>
      <c r="I53" s="6">
        <f t="shared" si="2"/>
        <v>0</v>
      </c>
      <c r="J53" s="6">
        <f t="shared" si="6"/>
        <v>6400</v>
      </c>
      <c r="K53" s="6">
        <f t="shared" si="3"/>
        <v>22400</v>
      </c>
      <c r="L53" s="6">
        <f t="shared" si="4"/>
        <v>6400</v>
      </c>
      <c r="M53" s="6" t="str" cm="1">
        <f t="array" ref="M53">_xlfn.XLOOKUP(Orders!C53,Customers!A54:A253,Customers!G54:'Customers'!G253,"Not Found")</f>
        <v>Aanya Kohli</v>
      </c>
      <c r="N53" s="4" t="str">
        <f t="shared" si="5"/>
        <v>Medium</v>
      </c>
      <c r="O53" t="s">
        <v>1023</v>
      </c>
      <c r="P53" t="s">
        <v>1062</v>
      </c>
      <c r="Q53" t="s">
        <v>612</v>
      </c>
      <c r="R53" t="s">
        <v>610</v>
      </c>
    </row>
    <row r="54" spans="1:18" x14ac:dyDescent="0.35">
      <c r="A54" t="s">
        <v>59</v>
      </c>
      <c r="B54" s="1">
        <v>45681</v>
      </c>
      <c r="C54" t="s">
        <v>259</v>
      </c>
      <c r="D54" t="s">
        <v>459</v>
      </c>
      <c r="E54">
        <v>3</v>
      </c>
      <c r="F54" s="6">
        <v>3000</v>
      </c>
      <c r="G54" s="6">
        <f t="shared" si="1"/>
        <v>9000</v>
      </c>
      <c r="H54" s="2">
        <v>0.05</v>
      </c>
      <c r="I54" s="6">
        <f t="shared" si="2"/>
        <v>450</v>
      </c>
      <c r="J54" s="6">
        <f t="shared" si="6"/>
        <v>3600</v>
      </c>
      <c r="K54" s="6">
        <f t="shared" si="3"/>
        <v>12150</v>
      </c>
      <c r="L54" s="6">
        <f t="shared" si="4"/>
        <v>3150</v>
      </c>
      <c r="M54" s="6" t="str" cm="1">
        <f t="array" ref="M54">_xlfn.XLOOKUP(Orders!C54,Customers!A55:A254,Customers!G55:'Customers'!G254,"Not Found")</f>
        <v>Aarav Singh</v>
      </c>
      <c r="N54" s="4" t="str">
        <f t="shared" si="5"/>
        <v>Medium</v>
      </c>
      <c r="O54" t="s">
        <v>1017</v>
      </c>
      <c r="P54" t="s">
        <v>1062</v>
      </c>
      <c r="Q54" t="s">
        <v>609</v>
      </c>
      <c r="R54" t="s">
        <v>610</v>
      </c>
    </row>
    <row r="55" spans="1:18" x14ac:dyDescent="0.35">
      <c r="A55" t="s">
        <v>60</v>
      </c>
      <c r="B55" s="1">
        <v>45681</v>
      </c>
      <c r="C55" t="s">
        <v>260</v>
      </c>
      <c r="D55" t="s">
        <v>460</v>
      </c>
      <c r="E55">
        <v>2</v>
      </c>
      <c r="F55" s="6">
        <v>30000</v>
      </c>
      <c r="G55" s="6">
        <f t="shared" si="1"/>
        <v>60000</v>
      </c>
      <c r="H55" s="2">
        <v>0.1</v>
      </c>
      <c r="I55" s="6">
        <f t="shared" si="2"/>
        <v>6000</v>
      </c>
      <c r="J55" s="6">
        <f t="shared" si="6"/>
        <v>24000</v>
      </c>
      <c r="K55" s="6">
        <f t="shared" si="3"/>
        <v>78000</v>
      </c>
      <c r="L55" s="6">
        <f t="shared" si="4"/>
        <v>18000</v>
      </c>
      <c r="M55" s="6" t="str" cm="1">
        <f t="array" ref="M55">_xlfn.XLOOKUP(Orders!C55,Customers!A56:A255,Customers!G56:'Customers'!G255,"Not Found")</f>
        <v>Aditi Reddy</v>
      </c>
      <c r="N55" s="4" t="str">
        <f t="shared" si="5"/>
        <v>Large</v>
      </c>
      <c r="O55" t="s">
        <v>1013</v>
      </c>
      <c r="P55" t="s">
        <v>1062</v>
      </c>
      <c r="Q55" t="s">
        <v>609</v>
      </c>
      <c r="R55" t="s">
        <v>613</v>
      </c>
    </row>
    <row r="56" spans="1:18" x14ac:dyDescent="0.35">
      <c r="A56" t="s">
        <v>61</v>
      </c>
      <c r="B56" s="1">
        <v>45681</v>
      </c>
      <c r="C56" t="s">
        <v>261</v>
      </c>
      <c r="D56" t="s">
        <v>461</v>
      </c>
      <c r="E56">
        <v>1</v>
      </c>
      <c r="F56" s="6">
        <v>15000</v>
      </c>
      <c r="G56" s="6">
        <f t="shared" si="1"/>
        <v>15000</v>
      </c>
      <c r="H56" s="2">
        <v>7.0000000000000007E-2</v>
      </c>
      <c r="I56" s="6">
        <f t="shared" si="2"/>
        <v>1050</v>
      </c>
      <c r="J56" s="6">
        <f t="shared" si="6"/>
        <v>6000</v>
      </c>
      <c r="K56" s="6">
        <f t="shared" si="3"/>
        <v>19950</v>
      </c>
      <c r="L56" s="6">
        <f t="shared" si="4"/>
        <v>4950</v>
      </c>
      <c r="M56" s="6" t="str" cm="1">
        <f t="array" ref="M56">_xlfn.XLOOKUP(Orders!C56,Customers!A57:A256,Customers!G57:'Customers'!G256,"Not Found")</f>
        <v>Arjun Das</v>
      </c>
      <c r="N56" s="4" t="str">
        <f t="shared" si="5"/>
        <v>Medium</v>
      </c>
      <c r="O56" t="s">
        <v>1013</v>
      </c>
      <c r="P56" t="s">
        <v>1062</v>
      </c>
      <c r="Q56" t="s">
        <v>615</v>
      </c>
      <c r="R56" t="s">
        <v>613</v>
      </c>
    </row>
    <row r="57" spans="1:18" x14ac:dyDescent="0.35">
      <c r="A57" t="s">
        <v>62</v>
      </c>
      <c r="B57" s="1">
        <v>45681</v>
      </c>
      <c r="C57" t="s">
        <v>262</v>
      </c>
      <c r="D57" t="s">
        <v>462</v>
      </c>
      <c r="E57">
        <v>11</v>
      </c>
      <c r="F57" s="6">
        <v>800</v>
      </c>
      <c r="G57" s="6">
        <f t="shared" si="1"/>
        <v>8800</v>
      </c>
      <c r="H57" s="2">
        <v>0.05</v>
      </c>
      <c r="I57" s="6">
        <f t="shared" si="2"/>
        <v>440</v>
      </c>
      <c r="J57" s="6">
        <f t="shared" si="6"/>
        <v>3520</v>
      </c>
      <c r="K57" s="6">
        <f t="shared" si="3"/>
        <v>11880</v>
      </c>
      <c r="L57" s="6">
        <f t="shared" si="4"/>
        <v>3080</v>
      </c>
      <c r="M57" s="6" t="str" cm="1">
        <f t="array" ref="M57">_xlfn.XLOOKUP(Orders!C57,Customers!A58:A257,Customers!G58:'Customers'!G257,"Not Found")</f>
        <v>Ananya Arora</v>
      </c>
      <c r="N57" s="4" t="str">
        <f t="shared" si="5"/>
        <v>Medium</v>
      </c>
      <c r="O57" t="s">
        <v>1013</v>
      </c>
      <c r="P57" t="s">
        <v>1062</v>
      </c>
      <c r="Q57" t="s">
        <v>609</v>
      </c>
      <c r="R57" t="s">
        <v>610</v>
      </c>
    </row>
    <row r="58" spans="1:18" x14ac:dyDescent="0.35">
      <c r="A58" t="s">
        <v>63</v>
      </c>
      <c r="B58" s="1">
        <v>45681</v>
      </c>
      <c r="C58" t="s">
        <v>263</v>
      </c>
      <c r="D58" t="s">
        <v>463</v>
      </c>
      <c r="E58">
        <v>12</v>
      </c>
      <c r="F58" s="6">
        <v>1000</v>
      </c>
      <c r="G58" s="6">
        <f t="shared" si="1"/>
        <v>12000</v>
      </c>
      <c r="H58" s="2">
        <v>0.1</v>
      </c>
      <c r="I58" s="6">
        <f t="shared" si="2"/>
        <v>1200</v>
      </c>
      <c r="J58" s="6">
        <f t="shared" si="6"/>
        <v>4800</v>
      </c>
      <c r="K58" s="6">
        <f t="shared" si="3"/>
        <v>15600</v>
      </c>
      <c r="L58" s="6">
        <f t="shared" si="4"/>
        <v>3600</v>
      </c>
      <c r="M58" s="6" t="str" cm="1">
        <f t="array" ref="M58">_xlfn.XLOOKUP(Orders!C58,Customers!A59:A258,Customers!G59:'Customers'!G258,"Not Found")</f>
        <v>Aditya Desai</v>
      </c>
      <c r="N58" s="4" t="str">
        <f t="shared" si="5"/>
        <v>Medium</v>
      </c>
      <c r="O58" t="s">
        <v>1013</v>
      </c>
      <c r="P58" t="s">
        <v>1062</v>
      </c>
      <c r="Q58" t="s">
        <v>609</v>
      </c>
      <c r="R58" t="s">
        <v>610</v>
      </c>
    </row>
    <row r="59" spans="1:18" x14ac:dyDescent="0.35">
      <c r="A59" t="s">
        <v>64</v>
      </c>
      <c r="B59" s="1">
        <v>45681</v>
      </c>
      <c r="C59" t="s">
        <v>264</v>
      </c>
      <c r="D59" t="s">
        <v>464</v>
      </c>
      <c r="E59">
        <v>12</v>
      </c>
      <c r="F59" s="6">
        <v>1200</v>
      </c>
      <c r="G59" s="6">
        <f t="shared" si="1"/>
        <v>14400</v>
      </c>
      <c r="H59" s="2">
        <v>7.0000000000000007E-2</v>
      </c>
      <c r="I59" s="6">
        <f t="shared" si="2"/>
        <v>1008.0000000000001</v>
      </c>
      <c r="J59" s="6">
        <f t="shared" si="6"/>
        <v>5760</v>
      </c>
      <c r="K59" s="6">
        <f t="shared" si="3"/>
        <v>19152</v>
      </c>
      <c r="L59" s="6">
        <f t="shared" si="4"/>
        <v>4752</v>
      </c>
      <c r="M59" s="6" t="str" cm="1">
        <f t="array" ref="M59">_xlfn.XLOOKUP(Orders!C59,Customers!A60:A259,Customers!G60:'Customers'!G259,"Not Found")</f>
        <v>Ishita Thakur</v>
      </c>
      <c r="N59" s="4" t="str">
        <f t="shared" si="5"/>
        <v>Medium</v>
      </c>
      <c r="O59" t="s">
        <v>1013</v>
      </c>
      <c r="P59" t="s">
        <v>1062</v>
      </c>
      <c r="Q59" t="s">
        <v>615</v>
      </c>
      <c r="R59" t="s">
        <v>610</v>
      </c>
    </row>
    <row r="60" spans="1:18" x14ac:dyDescent="0.35">
      <c r="A60" t="s">
        <v>65</v>
      </c>
      <c r="B60" s="1">
        <v>45681</v>
      </c>
      <c r="C60" t="s">
        <v>265</v>
      </c>
      <c r="D60" t="s">
        <v>465</v>
      </c>
      <c r="E60">
        <v>13</v>
      </c>
      <c r="F60" s="6">
        <v>3600</v>
      </c>
      <c r="G60" s="6">
        <f t="shared" si="1"/>
        <v>46800</v>
      </c>
      <c r="H60" s="2">
        <v>0.25</v>
      </c>
      <c r="I60" s="6">
        <f t="shared" si="2"/>
        <v>11700</v>
      </c>
      <c r="J60" s="6">
        <f t="shared" si="6"/>
        <v>18720</v>
      </c>
      <c r="K60" s="6">
        <f t="shared" si="3"/>
        <v>53820</v>
      </c>
      <c r="L60" s="6">
        <f t="shared" si="4"/>
        <v>7020</v>
      </c>
      <c r="M60" s="6" t="str" cm="1">
        <f t="array" ref="M60">_xlfn.XLOOKUP(Orders!C60,Customers!A61:A260,Customers!G61:'Customers'!G260,"Not Found")</f>
        <v>Kabir Kohli</v>
      </c>
      <c r="N60" s="4" t="str">
        <f t="shared" si="5"/>
        <v>Large</v>
      </c>
      <c r="O60" t="s">
        <v>1013</v>
      </c>
      <c r="P60" t="s">
        <v>1062</v>
      </c>
      <c r="Q60" t="s">
        <v>609</v>
      </c>
      <c r="R60" t="s">
        <v>613</v>
      </c>
    </row>
    <row r="61" spans="1:18" x14ac:dyDescent="0.35">
      <c r="A61" t="s">
        <v>66</v>
      </c>
      <c r="B61" s="1">
        <v>45681</v>
      </c>
      <c r="C61" t="s">
        <v>266</v>
      </c>
      <c r="D61" t="s">
        <v>466</v>
      </c>
      <c r="E61">
        <v>14</v>
      </c>
      <c r="F61" s="6">
        <v>4500</v>
      </c>
      <c r="G61" s="6">
        <f t="shared" si="1"/>
        <v>63000</v>
      </c>
      <c r="H61" s="2">
        <v>0.05</v>
      </c>
      <c r="I61" s="6">
        <f t="shared" si="2"/>
        <v>3150</v>
      </c>
      <c r="J61" s="6">
        <f t="shared" si="6"/>
        <v>25200</v>
      </c>
      <c r="K61" s="6">
        <f t="shared" si="3"/>
        <v>85050</v>
      </c>
      <c r="L61" s="6">
        <f t="shared" si="4"/>
        <v>22050</v>
      </c>
      <c r="M61" s="6" t="str" cm="1">
        <f t="array" ref="M61">_xlfn.XLOOKUP(Orders!C61,Customers!A62:A261,Customers!G62:'Customers'!G261,"Not Found")</f>
        <v>Meera Mehta</v>
      </c>
      <c r="N61" s="4" t="str">
        <f t="shared" si="5"/>
        <v>Large</v>
      </c>
      <c r="O61" t="s">
        <v>1022</v>
      </c>
      <c r="P61" t="s">
        <v>1062</v>
      </c>
      <c r="Q61" t="s">
        <v>616</v>
      </c>
      <c r="R61" t="s">
        <v>613</v>
      </c>
    </row>
    <row r="62" spans="1:18" x14ac:dyDescent="0.35">
      <c r="A62" t="s">
        <v>67</v>
      </c>
      <c r="B62" s="1">
        <v>45681</v>
      </c>
      <c r="C62" t="s">
        <v>267</v>
      </c>
      <c r="D62" t="s">
        <v>467</v>
      </c>
      <c r="E62">
        <v>15</v>
      </c>
      <c r="F62" s="6">
        <v>2500</v>
      </c>
      <c r="G62" s="6">
        <f t="shared" si="1"/>
        <v>37500</v>
      </c>
      <c r="H62" s="2">
        <v>0.12</v>
      </c>
      <c r="I62" s="6">
        <f t="shared" si="2"/>
        <v>4500</v>
      </c>
      <c r="J62" s="6">
        <f t="shared" si="6"/>
        <v>15000</v>
      </c>
      <c r="K62" s="6">
        <f t="shared" si="3"/>
        <v>48000</v>
      </c>
      <c r="L62" s="6">
        <f t="shared" si="4"/>
        <v>10500</v>
      </c>
      <c r="M62" s="6" t="str" cm="1">
        <f t="array" ref="M62">_xlfn.XLOOKUP(Orders!C62,Customers!A63:A262,Customers!G63:'Customers'!G262,"Not Found")</f>
        <v>Rohan Patel</v>
      </c>
      <c r="N62" s="4" t="str">
        <f t="shared" si="5"/>
        <v>Large</v>
      </c>
      <c r="O62" t="s">
        <v>1029</v>
      </c>
      <c r="P62" t="s">
        <v>1062</v>
      </c>
      <c r="Q62" t="s">
        <v>614</v>
      </c>
      <c r="R62" t="s">
        <v>610</v>
      </c>
    </row>
    <row r="63" spans="1:18" x14ac:dyDescent="0.35">
      <c r="A63" t="s">
        <v>68</v>
      </c>
      <c r="B63" s="1">
        <v>45681</v>
      </c>
      <c r="C63" t="s">
        <v>268</v>
      </c>
      <c r="D63" t="s">
        <v>468</v>
      </c>
      <c r="E63">
        <v>16</v>
      </c>
      <c r="F63" s="6">
        <v>1525</v>
      </c>
      <c r="G63" s="6">
        <f t="shared" si="1"/>
        <v>24400</v>
      </c>
      <c r="H63" s="2">
        <v>0.15</v>
      </c>
      <c r="I63" s="6">
        <f t="shared" si="2"/>
        <v>3660</v>
      </c>
      <c r="J63" s="6">
        <f t="shared" si="6"/>
        <v>9760</v>
      </c>
      <c r="K63" s="6">
        <f t="shared" si="3"/>
        <v>30500</v>
      </c>
      <c r="L63" s="6">
        <f t="shared" si="4"/>
        <v>6100</v>
      </c>
      <c r="M63" s="6" t="str" cm="1">
        <f t="array" ref="M63">_xlfn.XLOOKUP(Orders!C63,Customers!A64:A263,Customers!G64:'Customers'!G263,"Not Found")</f>
        <v>Priya Khan</v>
      </c>
      <c r="N63" s="4" t="str">
        <f t="shared" si="5"/>
        <v>Large</v>
      </c>
      <c r="O63" t="s">
        <v>1030</v>
      </c>
      <c r="P63" t="s">
        <v>1062</v>
      </c>
      <c r="Q63" t="s">
        <v>614</v>
      </c>
      <c r="R63" t="s">
        <v>613</v>
      </c>
    </row>
    <row r="64" spans="1:18" x14ac:dyDescent="0.35">
      <c r="A64" t="s">
        <v>69</v>
      </c>
      <c r="B64" s="1">
        <v>45681</v>
      </c>
      <c r="C64" t="s">
        <v>269</v>
      </c>
      <c r="D64" t="s">
        <v>469</v>
      </c>
      <c r="E64">
        <v>1</v>
      </c>
      <c r="F64" s="6">
        <v>85000</v>
      </c>
      <c r="G64" s="6">
        <f t="shared" si="1"/>
        <v>85000</v>
      </c>
      <c r="H64" s="2">
        <v>0.05</v>
      </c>
      <c r="I64" s="6">
        <f t="shared" si="2"/>
        <v>4250</v>
      </c>
      <c r="J64" s="6">
        <f t="shared" si="6"/>
        <v>34000</v>
      </c>
      <c r="K64" s="6">
        <f t="shared" si="3"/>
        <v>114750</v>
      </c>
      <c r="L64" s="6">
        <f t="shared" si="4"/>
        <v>29750</v>
      </c>
      <c r="M64" s="6" t="str" cm="1">
        <f t="array" ref="M64">_xlfn.XLOOKUP(Orders!C64,Customers!A65:A264,Customers!G65:'Customers'!G264,"Not Found")</f>
        <v>Rahul Khanna</v>
      </c>
      <c r="N64" s="4" t="str">
        <f t="shared" si="5"/>
        <v>Industrial</v>
      </c>
      <c r="O64" t="s">
        <v>1013</v>
      </c>
      <c r="P64" t="s">
        <v>1062</v>
      </c>
      <c r="Q64" t="s">
        <v>609</v>
      </c>
      <c r="R64" t="s">
        <v>610</v>
      </c>
    </row>
    <row r="65" spans="1:18" x14ac:dyDescent="0.35">
      <c r="A65" t="s">
        <v>70</v>
      </c>
      <c r="B65" s="1">
        <v>45681</v>
      </c>
      <c r="C65" t="s">
        <v>270</v>
      </c>
      <c r="D65" t="s">
        <v>470</v>
      </c>
      <c r="E65">
        <v>17</v>
      </c>
      <c r="F65" s="6">
        <v>500</v>
      </c>
      <c r="G65" s="6">
        <f t="shared" si="1"/>
        <v>8500</v>
      </c>
      <c r="H65" s="2">
        <v>0.05</v>
      </c>
      <c r="I65" s="6">
        <f t="shared" si="2"/>
        <v>425</v>
      </c>
      <c r="J65" s="6">
        <f t="shared" si="6"/>
        <v>3400</v>
      </c>
      <c r="K65" s="6">
        <f t="shared" si="3"/>
        <v>11475</v>
      </c>
      <c r="L65" s="6">
        <f t="shared" si="4"/>
        <v>2975</v>
      </c>
      <c r="M65" s="6" t="str" cm="1">
        <f t="array" ref="M65">_xlfn.XLOOKUP(Orders!C65,Customers!A66:A265,Customers!G66:'Customers'!G265,"Not Found")</f>
        <v>Sneha Kulkarni</v>
      </c>
      <c r="N65" s="4" t="str">
        <f t="shared" si="5"/>
        <v>Medium</v>
      </c>
      <c r="O65" t="s">
        <v>1014</v>
      </c>
      <c r="P65" t="s">
        <v>1062</v>
      </c>
      <c r="Q65" t="s">
        <v>612</v>
      </c>
      <c r="R65" t="s">
        <v>613</v>
      </c>
    </row>
    <row r="66" spans="1:18" x14ac:dyDescent="0.35">
      <c r="A66" t="s">
        <v>71</v>
      </c>
      <c r="B66" s="1">
        <v>45681</v>
      </c>
      <c r="C66" t="s">
        <v>271</v>
      </c>
      <c r="D66" t="s">
        <v>471</v>
      </c>
      <c r="E66">
        <v>18</v>
      </c>
      <c r="F66" s="6">
        <v>800</v>
      </c>
      <c r="G66" s="6">
        <f t="shared" si="1"/>
        <v>14400</v>
      </c>
      <c r="H66" s="2">
        <v>0.05</v>
      </c>
      <c r="I66" s="6">
        <f t="shared" si="2"/>
        <v>720</v>
      </c>
      <c r="J66" s="6">
        <f t="shared" si="6"/>
        <v>5760</v>
      </c>
      <c r="K66" s="6">
        <f t="shared" si="3"/>
        <v>19440</v>
      </c>
      <c r="L66" s="6">
        <f t="shared" si="4"/>
        <v>5040</v>
      </c>
      <c r="M66" s="6" t="str" cm="1">
        <f t="array" ref="M66">_xlfn.XLOOKUP(Orders!C66,Customers!A67:A266,Customers!G67:'Customers'!G266,"Not Found")</f>
        <v>Vihaan Yadav</v>
      </c>
      <c r="N66" s="4" t="str">
        <f t="shared" si="5"/>
        <v>Medium</v>
      </c>
      <c r="O66" t="s">
        <v>1013</v>
      </c>
      <c r="P66" t="s">
        <v>1062</v>
      </c>
      <c r="Q66" t="s">
        <v>612</v>
      </c>
      <c r="R66" t="s">
        <v>613</v>
      </c>
    </row>
    <row r="67" spans="1:18" x14ac:dyDescent="0.35">
      <c r="A67" t="s">
        <v>72</v>
      </c>
      <c r="B67" s="1">
        <v>45681</v>
      </c>
      <c r="C67" t="s">
        <v>272</v>
      </c>
      <c r="D67" t="s">
        <v>472</v>
      </c>
      <c r="E67">
        <v>18</v>
      </c>
      <c r="F67" s="6">
        <v>1000</v>
      </c>
      <c r="G67" s="6">
        <f t="shared" si="1"/>
        <v>18000</v>
      </c>
      <c r="H67" s="2">
        <v>0.05</v>
      </c>
      <c r="I67" s="6">
        <f t="shared" si="2"/>
        <v>900</v>
      </c>
      <c r="J67" s="6">
        <f t="shared" si="6"/>
        <v>7200</v>
      </c>
      <c r="K67" s="6">
        <f t="shared" si="3"/>
        <v>24300</v>
      </c>
      <c r="L67" s="6">
        <f t="shared" si="4"/>
        <v>6300</v>
      </c>
      <c r="M67" s="6" t="str" cm="1">
        <f t="array" ref="M67">_xlfn.XLOOKUP(Orders!C67,Customers!A68:A267,Customers!G68:'Customers'!G267,"Not Found")</f>
        <v>Diya Mathur</v>
      </c>
      <c r="N67" s="4" t="str">
        <f t="shared" si="5"/>
        <v>Medium</v>
      </c>
      <c r="O67" t="s">
        <v>1013</v>
      </c>
      <c r="P67" t="s">
        <v>1062</v>
      </c>
      <c r="Q67" t="s">
        <v>609</v>
      </c>
      <c r="R67" t="s">
        <v>613</v>
      </c>
    </row>
    <row r="68" spans="1:18" x14ac:dyDescent="0.35">
      <c r="A68" t="s">
        <v>73</v>
      </c>
      <c r="B68" s="1">
        <v>45681</v>
      </c>
      <c r="C68" t="s">
        <v>273</v>
      </c>
      <c r="D68" t="s">
        <v>473</v>
      </c>
      <c r="E68">
        <v>2</v>
      </c>
      <c r="F68" s="6">
        <v>30000</v>
      </c>
      <c r="G68" s="6">
        <f t="shared" si="1"/>
        <v>60000</v>
      </c>
      <c r="H68" s="2">
        <v>0.1</v>
      </c>
      <c r="I68" s="6">
        <f t="shared" si="2"/>
        <v>6000</v>
      </c>
      <c r="J68" s="6">
        <f t="shared" ref="J68:J99" si="7">G68*0.4</f>
        <v>24000</v>
      </c>
      <c r="K68" s="6">
        <f t="shared" si="3"/>
        <v>78000</v>
      </c>
      <c r="L68" s="6">
        <f t="shared" si="4"/>
        <v>18000</v>
      </c>
      <c r="M68" s="6" t="str" cm="1">
        <f t="array" ref="M68">_xlfn.XLOOKUP(Orders!C68,Customers!A69:A268,Customers!G69:'Customers'!G268,"Not Found")</f>
        <v>Karan Gupta</v>
      </c>
      <c r="N68" s="4" t="str">
        <f t="shared" si="5"/>
        <v>Large</v>
      </c>
      <c r="O68" t="s">
        <v>1013</v>
      </c>
      <c r="P68" t="s">
        <v>1062</v>
      </c>
      <c r="Q68" t="s">
        <v>616</v>
      </c>
      <c r="R68" t="s">
        <v>613</v>
      </c>
    </row>
    <row r="69" spans="1:18" x14ac:dyDescent="0.35">
      <c r="A69" t="s">
        <v>74</v>
      </c>
      <c r="B69" s="1">
        <v>45681</v>
      </c>
      <c r="C69" t="s">
        <v>274</v>
      </c>
      <c r="D69" t="s">
        <v>474</v>
      </c>
      <c r="E69">
        <v>3</v>
      </c>
      <c r="F69" s="6">
        <v>4000</v>
      </c>
      <c r="G69" s="6">
        <f t="shared" ref="G69:G132" si="8">E69*F69</f>
        <v>12000</v>
      </c>
      <c r="H69" s="2">
        <v>0.1</v>
      </c>
      <c r="I69" s="6">
        <f t="shared" ref="I69:I132" si="9">G69*H69</f>
        <v>1200</v>
      </c>
      <c r="J69" s="6">
        <f t="shared" si="7"/>
        <v>4800</v>
      </c>
      <c r="K69" s="6">
        <f t="shared" ref="K69:K132" si="10">G69+J69-I69</f>
        <v>15600</v>
      </c>
      <c r="L69" s="6">
        <f t="shared" ref="L69:L132" si="11">K69-G69</f>
        <v>3600</v>
      </c>
      <c r="M69" s="6" t="str" cm="1">
        <f t="array" ref="M69">_xlfn.XLOOKUP(Orders!C69,Customers!A70:A269,Customers!G70:'Customers'!G269,"Not Found")</f>
        <v>Neha Iyer</v>
      </c>
      <c r="N69" s="4" t="str">
        <f t="shared" ref="N69:N132" si="12">IF(K69&lt;5000,"Micro",IF(K69&lt;10000,"Small",IF(K69&lt;=30000,"Medium",IF(K69&lt;=100000,"Large",IF(K69&lt;=125000,"Industrial","Wholesale")))))</f>
        <v>Medium</v>
      </c>
      <c r="O69" t="s">
        <v>1013</v>
      </c>
      <c r="P69" t="s">
        <v>1067</v>
      </c>
      <c r="Q69" t="s">
        <v>609</v>
      </c>
      <c r="R69" t="s">
        <v>613</v>
      </c>
    </row>
    <row r="70" spans="1:18" x14ac:dyDescent="0.35">
      <c r="A70" t="s">
        <v>75</v>
      </c>
      <c r="B70" s="1">
        <v>45681</v>
      </c>
      <c r="C70" t="s">
        <v>275</v>
      </c>
      <c r="D70" t="s">
        <v>475</v>
      </c>
      <c r="E70">
        <v>4</v>
      </c>
      <c r="F70" s="6">
        <v>5000</v>
      </c>
      <c r="G70" s="6">
        <f t="shared" si="8"/>
        <v>20000</v>
      </c>
      <c r="H70" s="2">
        <v>0.1</v>
      </c>
      <c r="I70" s="6">
        <f t="shared" si="9"/>
        <v>2000</v>
      </c>
      <c r="J70" s="6">
        <f t="shared" si="7"/>
        <v>8000</v>
      </c>
      <c r="K70" s="6">
        <f t="shared" si="10"/>
        <v>26000</v>
      </c>
      <c r="L70" s="6">
        <f t="shared" si="11"/>
        <v>6000</v>
      </c>
      <c r="M70" s="6" t="str" cm="1">
        <f t="array" ref="M70">_xlfn.XLOOKUP(Orders!C70,Customers!A71:A270,Customers!G71:'Customers'!G270,"Not Found")</f>
        <v>Aryan Mishra</v>
      </c>
      <c r="N70" s="4" t="str">
        <f t="shared" si="12"/>
        <v>Medium</v>
      </c>
      <c r="O70" t="s">
        <v>1030</v>
      </c>
      <c r="P70" t="s">
        <v>1057</v>
      </c>
      <c r="Q70" t="s">
        <v>609</v>
      </c>
      <c r="R70" t="s">
        <v>613</v>
      </c>
    </row>
    <row r="71" spans="1:18" x14ac:dyDescent="0.35">
      <c r="A71" t="s">
        <v>76</v>
      </c>
      <c r="B71" s="1">
        <v>45681</v>
      </c>
      <c r="C71" t="s">
        <v>276</v>
      </c>
      <c r="D71" t="s">
        <v>476</v>
      </c>
      <c r="E71">
        <v>5</v>
      </c>
      <c r="F71" s="6">
        <v>6000</v>
      </c>
      <c r="G71" s="6">
        <f t="shared" si="8"/>
        <v>30000</v>
      </c>
      <c r="H71" s="2">
        <v>0.1</v>
      </c>
      <c r="I71" s="6">
        <f t="shared" si="9"/>
        <v>3000</v>
      </c>
      <c r="J71" s="6">
        <f t="shared" si="7"/>
        <v>12000</v>
      </c>
      <c r="K71" s="6">
        <f t="shared" si="10"/>
        <v>39000</v>
      </c>
      <c r="L71" s="6">
        <f t="shared" si="11"/>
        <v>9000</v>
      </c>
      <c r="M71" s="6" t="str" cm="1">
        <f t="array" ref="M71">_xlfn.XLOOKUP(Orders!C71,Customers!A72:A271,Customers!G72:'Customers'!G271,"Not Found")</f>
        <v>Kavya Pandey</v>
      </c>
      <c r="N71" s="4" t="str">
        <f t="shared" si="12"/>
        <v>Large</v>
      </c>
      <c r="O71" t="s">
        <v>1017</v>
      </c>
      <c r="P71" t="s">
        <v>1061</v>
      </c>
      <c r="Q71" t="s">
        <v>609</v>
      </c>
      <c r="R71" t="s">
        <v>613</v>
      </c>
    </row>
    <row r="72" spans="1:18" x14ac:dyDescent="0.35">
      <c r="A72" t="s">
        <v>77</v>
      </c>
      <c r="B72" s="1">
        <v>45681</v>
      </c>
      <c r="C72" t="s">
        <v>277</v>
      </c>
      <c r="D72" t="s">
        <v>477</v>
      </c>
      <c r="E72">
        <v>6</v>
      </c>
      <c r="F72" s="6">
        <v>1000</v>
      </c>
      <c r="G72" s="6">
        <f t="shared" si="8"/>
        <v>6000</v>
      </c>
      <c r="H72" s="2">
        <v>0.05</v>
      </c>
      <c r="I72" s="6">
        <f t="shared" si="9"/>
        <v>300</v>
      </c>
      <c r="J72" s="6">
        <f t="shared" si="7"/>
        <v>2400</v>
      </c>
      <c r="K72" s="6">
        <f t="shared" si="10"/>
        <v>8100</v>
      </c>
      <c r="L72" s="6">
        <f t="shared" si="11"/>
        <v>2100</v>
      </c>
      <c r="M72" s="6" t="str" cm="1">
        <f t="array" ref="M72">_xlfn.XLOOKUP(Orders!C72,Customers!A73:A272,Customers!G73:'Customers'!G272,"Not Found")</f>
        <v>Yash Srivastava</v>
      </c>
      <c r="N72" s="4" t="str">
        <f t="shared" si="12"/>
        <v>Small</v>
      </c>
      <c r="O72" t="s">
        <v>1017</v>
      </c>
      <c r="P72" t="s">
        <v>1061</v>
      </c>
      <c r="Q72" t="s">
        <v>612</v>
      </c>
      <c r="R72" t="s">
        <v>613</v>
      </c>
    </row>
    <row r="73" spans="1:18" x14ac:dyDescent="0.35">
      <c r="A73" t="s">
        <v>78</v>
      </c>
      <c r="B73" s="1">
        <v>45681</v>
      </c>
      <c r="C73" t="s">
        <v>278</v>
      </c>
      <c r="D73" t="s">
        <v>478</v>
      </c>
      <c r="E73">
        <v>7</v>
      </c>
      <c r="F73" s="6">
        <v>800</v>
      </c>
      <c r="G73" s="6">
        <f t="shared" si="8"/>
        <v>5600</v>
      </c>
      <c r="H73" s="2">
        <v>0.05</v>
      </c>
      <c r="I73" s="6">
        <f t="shared" si="9"/>
        <v>280</v>
      </c>
      <c r="J73" s="6">
        <f t="shared" si="7"/>
        <v>2240</v>
      </c>
      <c r="K73" s="6">
        <f t="shared" si="10"/>
        <v>7560</v>
      </c>
      <c r="L73" s="6">
        <f t="shared" si="11"/>
        <v>1960</v>
      </c>
      <c r="M73" s="6" t="str" cm="1">
        <f t="array" ref="M73">_xlfn.XLOOKUP(Orders!C73,Customers!A74:A273,Customers!G74:'Customers'!G273,"Not Found")</f>
        <v>Riya Dutta</v>
      </c>
      <c r="N73" s="4" t="str">
        <f t="shared" si="12"/>
        <v>Small</v>
      </c>
      <c r="O73" t="s">
        <v>1017</v>
      </c>
      <c r="P73" t="s">
        <v>1068</v>
      </c>
      <c r="Q73" t="s">
        <v>612</v>
      </c>
      <c r="R73" t="s">
        <v>613</v>
      </c>
    </row>
    <row r="74" spans="1:18" x14ac:dyDescent="0.35">
      <c r="A74" t="s">
        <v>79</v>
      </c>
      <c r="B74" s="1">
        <v>45681</v>
      </c>
      <c r="C74" t="s">
        <v>279</v>
      </c>
      <c r="D74" t="s">
        <v>479</v>
      </c>
      <c r="E74">
        <v>8</v>
      </c>
      <c r="F74" s="6">
        <v>200</v>
      </c>
      <c r="G74" s="6">
        <f t="shared" si="8"/>
        <v>1600</v>
      </c>
      <c r="H74" s="2">
        <v>0</v>
      </c>
      <c r="I74" s="6">
        <f t="shared" si="9"/>
        <v>0</v>
      </c>
      <c r="J74" s="6">
        <f t="shared" si="7"/>
        <v>640</v>
      </c>
      <c r="K74" s="6">
        <f t="shared" si="10"/>
        <v>2240</v>
      </c>
      <c r="L74" s="6">
        <f t="shared" si="11"/>
        <v>640</v>
      </c>
      <c r="M74" s="6" t="str" cm="1">
        <f t="array" ref="M74">_xlfn.XLOOKUP(Orders!C74,Customers!A75:A274,Customers!G75:'Customers'!G274,"Not Found")</f>
        <v>Dev Sood</v>
      </c>
      <c r="N74" s="4" t="str">
        <f t="shared" si="12"/>
        <v>Micro</v>
      </c>
      <c r="O74" t="s">
        <v>1014</v>
      </c>
      <c r="P74" t="s">
        <v>1069</v>
      </c>
      <c r="Q74" t="s">
        <v>612</v>
      </c>
      <c r="R74" t="s">
        <v>613</v>
      </c>
    </row>
    <row r="75" spans="1:18" x14ac:dyDescent="0.35">
      <c r="A75" t="s">
        <v>80</v>
      </c>
      <c r="B75" s="1">
        <v>45681</v>
      </c>
      <c r="C75" t="s">
        <v>280</v>
      </c>
      <c r="D75" t="s">
        <v>480</v>
      </c>
      <c r="E75">
        <v>9</v>
      </c>
      <c r="F75" s="6">
        <v>4590</v>
      </c>
      <c r="G75" s="6">
        <f t="shared" si="8"/>
        <v>41310</v>
      </c>
      <c r="H75" s="2">
        <v>0.2</v>
      </c>
      <c r="I75" s="6">
        <f t="shared" si="9"/>
        <v>8262</v>
      </c>
      <c r="J75" s="6">
        <f t="shared" si="7"/>
        <v>16524</v>
      </c>
      <c r="K75" s="6">
        <f t="shared" si="10"/>
        <v>49572</v>
      </c>
      <c r="L75" s="6">
        <f t="shared" si="11"/>
        <v>8262</v>
      </c>
      <c r="M75" s="6" t="str" cm="1">
        <f t="array" ref="M75">_xlfn.XLOOKUP(Orders!C75,Customers!A76:A275,Customers!G76:'Customers'!G275,"Not Found")</f>
        <v>Nisha Verma</v>
      </c>
      <c r="N75" s="4" t="str">
        <f t="shared" si="12"/>
        <v>Large</v>
      </c>
      <c r="O75" t="s">
        <v>1018</v>
      </c>
      <c r="P75" t="s">
        <v>1043</v>
      </c>
      <c r="Q75" t="s">
        <v>612</v>
      </c>
      <c r="R75" t="s">
        <v>613</v>
      </c>
    </row>
    <row r="76" spans="1:18" x14ac:dyDescent="0.35">
      <c r="A76" t="s">
        <v>81</v>
      </c>
      <c r="B76" s="1">
        <v>45681</v>
      </c>
      <c r="C76" t="s">
        <v>281</v>
      </c>
      <c r="D76" t="s">
        <v>481</v>
      </c>
      <c r="E76">
        <v>10</v>
      </c>
      <c r="F76" s="6">
        <v>1375</v>
      </c>
      <c r="G76" s="6">
        <f t="shared" si="8"/>
        <v>13750</v>
      </c>
      <c r="H76" s="2">
        <v>0</v>
      </c>
      <c r="I76" s="6">
        <f t="shared" si="9"/>
        <v>0</v>
      </c>
      <c r="J76" s="6">
        <f t="shared" si="7"/>
        <v>5500</v>
      </c>
      <c r="K76" s="6">
        <f t="shared" si="10"/>
        <v>19250</v>
      </c>
      <c r="L76" s="6">
        <f t="shared" si="11"/>
        <v>5500</v>
      </c>
      <c r="M76" s="6" t="str" cm="1">
        <f t="array" ref="M76">_xlfn.XLOOKUP(Orders!C76,Customers!A77:A276,Customers!G77:'Customers'!G276,"Not Found")</f>
        <v>Siddharth Agarwal</v>
      </c>
      <c r="N76" s="4" t="str">
        <f t="shared" si="12"/>
        <v>Medium</v>
      </c>
      <c r="O76" t="s">
        <v>1014</v>
      </c>
      <c r="P76" t="s">
        <v>1060</v>
      </c>
      <c r="Q76" t="s">
        <v>612</v>
      </c>
      <c r="R76" t="s">
        <v>613</v>
      </c>
    </row>
    <row r="77" spans="1:18" x14ac:dyDescent="0.35">
      <c r="A77" t="s">
        <v>82</v>
      </c>
      <c r="B77" s="1">
        <v>45681</v>
      </c>
      <c r="C77" t="s">
        <v>282</v>
      </c>
      <c r="D77" t="s">
        <v>482</v>
      </c>
      <c r="E77">
        <v>1</v>
      </c>
      <c r="F77" s="6">
        <v>30000</v>
      </c>
      <c r="G77" s="6">
        <f t="shared" si="8"/>
        <v>30000</v>
      </c>
      <c r="H77" s="2">
        <v>0.05</v>
      </c>
      <c r="I77" s="6">
        <f t="shared" si="9"/>
        <v>1500</v>
      </c>
      <c r="J77" s="6">
        <f t="shared" si="7"/>
        <v>12000</v>
      </c>
      <c r="K77" s="6">
        <f t="shared" si="10"/>
        <v>40500</v>
      </c>
      <c r="L77" s="6">
        <f t="shared" si="11"/>
        <v>10500</v>
      </c>
      <c r="M77" s="6" t="str" cm="1">
        <f t="array" ref="M77">_xlfn.XLOOKUP(Orders!C77,Customers!A78:A277,Customers!G78:'Customers'!G277,"Not Found")</f>
        <v>Pooja Saxena</v>
      </c>
      <c r="N77" s="4" t="str">
        <f t="shared" si="12"/>
        <v>Large</v>
      </c>
      <c r="O77" t="s">
        <v>1013</v>
      </c>
      <c r="P77" t="s">
        <v>1070</v>
      </c>
      <c r="Q77" t="s">
        <v>612</v>
      </c>
      <c r="R77" t="s">
        <v>613</v>
      </c>
    </row>
    <row r="78" spans="1:18" x14ac:dyDescent="0.35">
      <c r="A78" t="s">
        <v>83</v>
      </c>
      <c r="B78" s="1">
        <v>45681</v>
      </c>
      <c r="C78" t="s">
        <v>283</v>
      </c>
      <c r="D78" t="s">
        <v>483</v>
      </c>
      <c r="E78">
        <v>2</v>
      </c>
      <c r="F78" s="6">
        <v>14000</v>
      </c>
      <c r="G78" s="6">
        <f t="shared" si="8"/>
        <v>28000</v>
      </c>
      <c r="H78" s="2">
        <v>0</v>
      </c>
      <c r="I78" s="6">
        <f t="shared" si="9"/>
        <v>0</v>
      </c>
      <c r="J78" s="6">
        <f t="shared" si="7"/>
        <v>11200</v>
      </c>
      <c r="K78" s="6">
        <f t="shared" si="10"/>
        <v>39200</v>
      </c>
      <c r="L78" s="6">
        <f t="shared" si="11"/>
        <v>11200</v>
      </c>
      <c r="M78" s="6" t="str" cm="1">
        <f t="array" ref="M78">_xlfn.XLOOKUP(Orders!C78,Customers!A79:A278,Customers!G79:'Customers'!G278,"Not Found")</f>
        <v>Varun Tiwari</v>
      </c>
      <c r="N78" s="4" t="str">
        <f t="shared" si="12"/>
        <v>Large</v>
      </c>
      <c r="O78" t="s">
        <v>1013</v>
      </c>
      <c r="P78" t="s">
        <v>1071</v>
      </c>
      <c r="Q78" t="s">
        <v>612</v>
      </c>
      <c r="R78" t="s">
        <v>613</v>
      </c>
    </row>
    <row r="79" spans="1:18" x14ac:dyDescent="0.35">
      <c r="A79" t="s">
        <v>84</v>
      </c>
      <c r="B79" s="1">
        <v>45681</v>
      </c>
      <c r="C79" t="s">
        <v>284</v>
      </c>
      <c r="D79" t="s">
        <v>484</v>
      </c>
      <c r="E79">
        <v>3</v>
      </c>
      <c r="F79" s="6">
        <v>1000</v>
      </c>
      <c r="G79" s="6">
        <f t="shared" si="8"/>
        <v>3000</v>
      </c>
      <c r="H79" s="2">
        <v>0</v>
      </c>
      <c r="I79" s="6">
        <f t="shared" si="9"/>
        <v>0</v>
      </c>
      <c r="J79" s="6">
        <f t="shared" si="7"/>
        <v>1200</v>
      </c>
      <c r="K79" s="6">
        <f t="shared" si="10"/>
        <v>4200</v>
      </c>
      <c r="L79" s="6">
        <f t="shared" si="11"/>
        <v>1200</v>
      </c>
      <c r="M79" s="6" t="str" cm="1">
        <f t="array" ref="M79">_xlfn.XLOOKUP(Orders!C79,Customers!A80:A279,Customers!G80:'Customers'!G279,"Not Found")</f>
        <v>Simran Sinha</v>
      </c>
      <c r="N79" s="4" t="str">
        <f t="shared" si="12"/>
        <v>Micro</v>
      </c>
      <c r="O79" t="s">
        <v>1031</v>
      </c>
      <c r="P79" t="s">
        <v>1072</v>
      </c>
      <c r="Q79" t="s">
        <v>612</v>
      </c>
      <c r="R79" t="s">
        <v>610</v>
      </c>
    </row>
    <row r="80" spans="1:18" x14ac:dyDescent="0.35">
      <c r="A80" t="s">
        <v>85</v>
      </c>
      <c r="B80" s="1">
        <v>45681</v>
      </c>
      <c r="C80" t="s">
        <v>285</v>
      </c>
      <c r="D80" t="s">
        <v>485</v>
      </c>
      <c r="E80">
        <v>4</v>
      </c>
      <c r="F80" s="6">
        <v>250</v>
      </c>
      <c r="G80" s="6">
        <f t="shared" si="8"/>
        <v>1000</v>
      </c>
      <c r="H80" s="2">
        <v>0</v>
      </c>
      <c r="I80" s="6">
        <f t="shared" si="9"/>
        <v>0</v>
      </c>
      <c r="J80" s="6">
        <f t="shared" si="7"/>
        <v>400</v>
      </c>
      <c r="K80" s="6">
        <f t="shared" si="10"/>
        <v>1400</v>
      </c>
      <c r="L80" s="6">
        <f t="shared" si="11"/>
        <v>400</v>
      </c>
      <c r="M80" s="6" t="str" cm="1">
        <f t="array" ref="M80">_xlfn.XLOOKUP(Orders!C80,Customers!A81:A280,Customers!G81:'Customers'!G280,"Not Found")</f>
        <v>Aniket Banerjee</v>
      </c>
      <c r="N80" s="4" t="str">
        <f t="shared" si="12"/>
        <v>Micro</v>
      </c>
      <c r="O80" t="s">
        <v>1013</v>
      </c>
      <c r="P80" t="s">
        <v>1063</v>
      </c>
      <c r="Q80" t="s">
        <v>612</v>
      </c>
      <c r="R80" t="s">
        <v>610</v>
      </c>
    </row>
    <row r="81" spans="1:18" x14ac:dyDescent="0.35">
      <c r="A81" t="s">
        <v>86</v>
      </c>
      <c r="B81" s="1">
        <v>45681</v>
      </c>
      <c r="C81" t="s">
        <v>286</v>
      </c>
      <c r="D81" t="s">
        <v>486</v>
      </c>
      <c r="E81">
        <v>5</v>
      </c>
      <c r="F81" s="6">
        <v>175</v>
      </c>
      <c r="G81" s="6">
        <f t="shared" si="8"/>
        <v>875</v>
      </c>
      <c r="H81" s="2">
        <v>0</v>
      </c>
      <c r="I81" s="6">
        <f t="shared" si="9"/>
        <v>0</v>
      </c>
      <c r="J81" s="6">
        <f t="shared" si="7"/>
        <v>350</v>
      </c>
      <c r="K81" s="6">
        <f t="shared" si="10"/>
        <v>1225</v>
      </c>
      <c r="L81" s="6">
        <f t="shared" si="11"/>
        <v>350</v>
      </c>
      <c r="M81" s="6" t="str" cm="1">
        <f t="array" ref="M81">_xlfn.XLOOKUP(Orders!C81,Customers!A82:A281,Customers!G82:'Customers'!G281,"Not Found")</f>
        <v>Tanvi Vohra</v>
      </c>
      <c r="N81" s="4" t="str">
        <f t="shared" si="12"/>
        <v>Micro</v>
      </c>
      <c r="O81" t="s">
        <v>1030</v>
      </c>
      <c r="P81" t="s">
        <v>1063</v>
      </c>
      <c r="Q81" t="s">
        <v>611</v>
      </c>
      <c r="R81" t="s">
        <v>610</v>
      </c>
    </row>
    <row r="82" spans="1:18" x14ac:dyDescent="0.35">
      <c r="A82" t="s">
        <v>87</v>
      </c>
      <c r="B82" s="1">
        <v>45681</v>
      </c>
      <c r="C82" t="s">
        <v>287</v>
      </c>
      <c r="D82" t="s">
        <v>487</v>
      </c>
      <c r="E82">
        <v>6</v>
      </c>
      <c r="F82" s="6">
        <v>500</v>
      </c>
      <c r="G82" s="6">
        <f t="shared" si="8"/>
        <v>3000</v>
      </c>
      <c r="H82" s="2">
        <v>0</v>
      </c>
      <c r="I82" s="6">
        <f t="shared" si="9"/>
        <v>0</v>
      </c>
      <c r="J82" s="6">
        <f t="shared" si="7"/>
        <v>1200</v>
      </c>
      <c r="K82" s="6">
        <f t="shared" si="10"/>
        <v>4200</v>
      </c>
      <c r="L82" s="6">
        <f t="shared" si="11"/>
        <v>1200</v>
      </c>
      <c r="M82" s="6" t="str" cm="1">
        <f t="array" ref="M82">_xlfn.XLOOKUP(Orders!C82,Customers!A83:A282,Customers!G83:'Customers'!G282,"Not Found")</f>
        <v>Manav Sharma</v>
      </c>
      <c r="N82" s="4" t="str">
        <f t="shared" si="12"/>
        <v>Micro</v>
      </c>
      <c r="O82" t="s">
        <v>1022</v>
      </c>
      <c r="P82" t="s">
        <v>1066</v>
      </c>
      <c r="Q82" t="s">
        <v>611</v>
      </c>
      <c r="R82" t="s">
        <v>610</v>
      </c>
    </row>
    <row r="83" spans="1:18" x14ac:dyDescent="0.35">
      <c r="A83" t="s">
        <v>88</v>
      </c>
      <c r="B83" s="1">
        <v>45681</v>
      </c>
      <c r="C83" t="s">
        <v>288</v>
      </c>
      <c r="D83" t="s">
        <v>488</v>
      </c>
      <c r="E83">
        <v>7</v>
      </c>
      <c r="F83" s="6">
        <v>700</v>
      </c>
      <c r="G83" s="6">
        <f t="shared" si="8"/>
        <v>4900</v>
      </c>
      <c r="H83" s="2">
        <v>0</v>
      </c>
      <c r="I83" s="6">
        <f t="shared" si="9"/>
        <v>0</v>
      </c>
      <c r="J83" s="6">
        <f t="shared" si="7"/>
        <v>1960</v>
      </c>
      <c r="K83" s="6">
        <f t="shared" si="10"/>
        <v>6860</v>
      </c>
      <c r="L83" s="6">
        <f t="shared" si="11"/>
        <v>1960</v>
      </c>
      <c r="M83" s="6" t="str" cm="1">
        <f t="array" ref="M83">_xlfn.XLOOKUP(Orders!C83,Customers!A84:A283,Customers!G84:'Customers'!G283,"Not Found")</f>
        <v>Shreya Bansal</v>
      </c>
      <c r="N83" s="4" t="str">
        <f t="shared" si="12"/>
        <v>Small</v>
      </c>
      <c r="O83" t="s">
        <v>1022</v>
      </c>
      <c r="P83" t="s">
        <v>1050</v>
      </c>
      <c r="Q83" t="s">
        <v>611</v>
      </c>
      <c r="R83" t="s">
        <v>610</v>
      </c>
    </row>
    <row r="84" spans="1:18" x14ac:dyDescent="0.35">
      <c r="A84" t="s">
        <v>89</v>
      </c>
      <c r="B84" s="1">
        <v>45681</v>
      </c>
      <c r="C84" t="s">
        <v>289</v>
      </c>
      <c r="D84" t="s">
        <v>489</v>
      </c>
      <c r="E84">
        <v>8</v>
      </c>
      <c r="F84" s="6">
        <v>1200</v>
      </c>
      <c r="G84" s="6">
        <f t="shared" si="8"/>
        <v>9600</v>
      </c>
      <c r="H84" s="2">
        <v>0</v>
      </c>
      <c r="I84" s="6">
        <f t="shared" si="9"/>
        <v>0</v>
      </c>
      <c r="J84" s="6">
        <f t="shared" si="7"/>
        <v>3840</v>
      </c>
      <c r="K84" s="6">
        <f t="shared" si="10"/>
        <v>13440</v>
      </c>
      <c r="L84" s="6">
        <f t="shared" si="11"/>
        <v>3840</v>
      </c>
      <c r="M84" s="6" t="str" cm="1">
        <f t="array" ref="M84">_xlfn.XLOOKUP(Orders!C84,Customers!A85:A284,Customers!G85:'Customers'!G284,"Not Found")</f>
        <v>Vivaan Chopra</v>
      </c>
      <c r="N84" s="4" t="str">
        <f t="shared" si="12"/>
        <v>Medium</v>
      </c>
      <c r="O84" t="s">
        <v>1018</v>
      </c>
      <c r="P84" t="s">
        <v>1070</v>
      </c>
      <c r="Q84" t="s">
        <v>611</v>
      </c>
      <c r="R84" t="s">
        <v>613</v>
      </c>
    </row>
    <row r="85" spans="1:18" x14ac:dyDescent="0.35">
      <c r="A85" t="s">
        <v>90</v>
      </c>
      <c r="B85" s="1">
        <v>45681</v>
      </c>
      <c r="C85" t="s">
        <v>290</v>
      </c>
      <c r="D85" t="s">
        <v>490</v>
      </c>
      <c r="E85">
        <v>9</v>
      </c>
      <c r="F85" s="6">
        <v>900</v>
      </c>
      <c r="G85" s="6">
        <f t="shared" si="8"/>
        <v>8100</v>
      </c>
      <c r="H85" s="2">
        <v>0</v>
      </c>
      <c r="I85" s="6">
        <f t="shared" si="9"/>
        <v>0</v>
      </c>
      <c r="J85" s="6">
        <f t="shared" si="7"/>
        <v>3240</v>
      </c>
      <c r="K85" s="6">
        <f t="shared" si="10"/>
        <v>11340</v>
      </c>
      <c r="L85" s="6">
        <f t="shared" si="11"/>
        <v>3240</v>
      </c>
      <c r="M85" s="6" t="str" cm="1">
        <f t="array" ref="M85">_xlfn.XLOOKUP(Orders!C85,Customers!A86:A285,Customers!G86:'Customers'!G285,"Not Found")</f>
        <v>Avni Sethi</v>
      </c>
      <c r="N85" s="4" t="str">
        <f t="shared" si="12"/>
        <v>Medium</v>
      </c>
      <c r="O85" t="s">
        <v>1018</v>
      </c>
      <c r="P85" t="s">
        <v>1070</v>
      </c>
      <c r="Q85" t="s">
        <v>611</v>
      </c>
      <c r="R85" t="s">
        <v>610</v>
      </c>
    </row>
    <row r="86" spans="1:18" x14ac:dyDescent="0.35">
      <c r="A86" t="s">
        <v>91</v>
      </c>
      <c r="B86" s="1">
        <v>45681</v>
      </c>
      <c r="C86" t="s">
        <v>291</v>
      </c>
      <c r="D86" t="s">
        <v>491</v>
      </c>
      <c r="E86">
        <v>1</v>
      </c>
      <c r="F86" s="6">
        <v>105000</v>
      </c>
      <c r="G86" s="6">
        <f t="shared" si="8"/>
        <v>105000</v>
      </c>
      <c r="H86" s="2">
        <v>0.05</v>
      </c>
      <c r="I86" s="6">
        <f t="shared" si="9"/>
        <v>5250</v>
      </c>
      <c r="J86" s="6">
        <f t="shared" si="7"/>
        <v>42000</v>
      </c>
      <c r="K86" s="6">
        <f t="shared" si="10"/>
        <v>141750</v>
      </c>
      <c r="L86" s="6">
        <f t="shared" si="11"/>
        <v>36750</v>
      </c>
      <c r="M86" s="6" t="str" cm="1">
        <f t="array" ref="M86">_xlfn.XLOOKUP(Orders!C86,Customers!A87:A286,Customers!G87:'Customers'!G286,"Not Found")</f>
        <v>Reyansh Jain</v>
      </c>
      <c r="N86" s="4" t="str">
        <f t="shared" si="12"/>
        <v>Wholesale</v>
      </c>
      <c r="O86" t="s">
        <v>1013</v>
      </c>
      <c r="P86" t="s">
        <v>1062</v>
      </c>
      <c r="Q86" t="s">
        <v>609</v>
      </c>
      <c r="R86" t="s">
        <v>613</v>
      </c>
    </row>
    <row r="87" spans="1:18" x14ac:dyDescent="0.35">
      <c r="A87" t="s">
        <v>92</v>
      </c>
      <c r="B87" s="1">
        <v>45681</v>
      </c>
      <c r="C87" t="s">
        <v>292</v>
      </c>
      <c r="D87" t="s">
        <v>492</v>
      </c>
      <c r="E87">
        <v>2</v>
      </c>
      <c r="F87" s="6">
        <v>12500</v>
      </c>
      <c r="G87" s="6">
        <f t="shared" si="8"/>
        <v>25000</v>
      </c>
      <c r="H87" s="2">
        <v>0.15</v>
      </c>
      <c r="I87" s="6">
        <f t="shared" si="9"/>
        <v>3750</v>
      </c>
      <c r="J87" s="6">
        <f t="shared" si="7"/>
        <v>10000</v>
      </c>
      <c r="K87" s="6">
        <f t="shared" si="10"/>
        <v>31250</v>
      </c>
      <c r="L87" s="6">
        <f t="shared" si="11"/>
        <v>6250</v>
      </c>
      <c r="M87" s="6" t="str" cm="1">
        <f t="array" ref="M87">_xlfn.XLOOKUP(Orders!C87,Customers!A88:A287,Customers!G88:'Customers'!G287,"Not Found")</f>
        <v>Myra Mukherjee</v>
      </c>
      <c r="N87" s="4" t="str">
        <f t="shared" si="12"/>
        <v>Large</v>
      </c>
      <c r="O87" t="s">
        <v>1023</v>
      </c>
      <c r="P87" t="s">
        <v>1062</v>
      </c>
      <c r="Q87" t="s">
        <v>609</v>
      </c>
      <c r="R87" t="s">
        <v>613</v>
      </c>
    </row>
    <row r="88" spans="1:18" x14ac:dyDescent="0.35">
      <c r="A88" t="s">
        <v>93</v>
      </c>
      <c r="B88" s="1">
        <v>45681</v>
      </c>
      <c r="C88" t="s">
        <v>293</v>
      </c>
      <c r="D88" t="s">
        <v>493</v>
      </c>
      <c r="E88">
        <v>3</v>
      </c>
      <c r="F88" s="6">
        <v>350</v>
      </c>
      <c r="G88" s="6">
        <f t="shared" si="8"/>
        <v>1050</v>
      </c>
      <c r="H88" s="2">
        <v>0</v>
      </c>
      <c r="I88" s="6">
        <f t="shared" si="9"/>
        <v>0</v>
      </c>
      <c r="J88" s="6">
        <f t="shared" si="7"/>
        <v>420</v>
      </c>
      <c r="K88" s="6">
        <f t="shared" si="10"/>
        <v>1470</v>
      </c>
      <c r="L88" s="6">
        <f t="shared" si="11"/>
        <v>420</v>
      </c>
      <c r="M88" s="6" t="str" cm="1">
        <f t="array" ref="M88">_xlfn.XLOOKUP(Orders!C88,Customers!A89:A288,Customers!G89:'Customers'!G288,"Not Found")</f>
        <v>Krish Dubey</v>
      </c>
      <c r="N88" s="4" t="str">
        <f t="shared" si="12"/>
        <v>Micro</v>
      </c>
      <c r="O88" t="s">
        <v>1032</v>
      </c>
      <c r="P88" t="s">
        <v>1062</v>
      </c>
      <c r="Q88" t="s">
        <v>611</v>
      </c>
      <c r="R88" t="s">
        <v>610</v>
      </c>
    </row>
    <row r="89" spans="1:18" x14ac:dyDescent="0.35">
      <c r="A89" t="s">
        <v>94</v>
      </c>
      <c r="B89" s="1">
        <v>45681</v>
      </c>
      <c r="C89" t="s">
        <v>294</v>
      </c>
      <c r="D89" t="s">
        <v>494</v>
      </c>
      <c r="E89">
        <v>4</v>
      </c>
      <c r="F89" s="6">
        <v>650</v>
      </c>
      <c r="G89" s="6">
        <f t="shared" si="8"/>
        <v>2600</v>
      </c>
      <c r="H89" s="2">
        <v>0</v>
      </c>
      <c r="I89" s="6">
        <f t="shared" si="9"/>
        <v>0</v>
      </c>
      <c r="J89" s="6">
        <f t="shared" si="7"/>
        <v>1040</v>
      </c>
      <c r="K89" s="6">
        <f t="shared" si="10"/>
        <v>3640</v>
      </c>
      <c r="L89" s="6">
        <f t="shared" si="11"/>
        <v>1040</v>
      </c>
      <c r="M89" s="6" t="str" cm="1">
        <f t="array" ref="M89">_xlfn.XLOOKUP(Orders!C89,Customers!A90:A289,Customers!G90:'Customers'!G289,"Not Found")</f>
        <v>Kiara Naidu</v>
      </c>
      <c r="N89" s="4" t="str">
        <f t="shared" si="12"/>
        <v>Micro</v>
      </c>
      <c r="O89" t="s">
        <v>1032</v>
      </c>
      <c r="P89" t="s">
        <v>1056</v>
      </c>
      <c r="Q89" t="s">
        <v>611</v>
      </c>
      <c r="R89" t="s">
        <v>610</v>
      </c>
    </row>
    <row r="90" spans="1:18" x14ac:dyDescent="0.35">
      <c r="A90" t="s">
        <v>95</v>
      </c>
      <c r="B90" s="1">
        <v>45681</v>
      </c>
      <c r="C90" t="s">
        <v>295</v>
      </c>
      <c r="D90" t="s">
        <v>495</v>
      </c>
      <c r="E90">
        <v>5</v>
      </c>
      <c r="F90" s="6">
        <v>1450</v>
      </c>
      <c r="G90" s="6">
        <f t="shared" si="8"/>
        <v>7250</v>
      </c>
      <c r="H90" s="2">
        <v>0.1</v>
      </c>
      <c r="I90" s="6">
        <f t="shared" si="9"/>
        <v>725</v>
      </c>
      <c r="J90" s="6">
        <f t="shared" si="7"/>
        <v>2900</v>
      </c>
      <c r="K90" s="6">
        <f t="shared" si="10"/>
        <v>9425</v>
      </c>
      <c r="L90" s="6">
        <f t="shared" si="11"/>
        <v>2175</v>
      </c>
      <c r="M90" s="6" t="str" cm="1">
        <f t="array" ref="M90">_xlfn.XLOOKUP(Orders!C90,Customers!A91:A290,Customers!G91:'Customers'!G290,"Not Found")</f>
        <v>Atharv Malhotra</v>
      </c>
      <c r="N90" s="4" t="str">
        <f t="shared" si="12"/>
        <v>Small</v>
      </c>
      <c r="O90" t="s">
        <v>1033</v>
      </c>
      <c r="P90" t="s">
        <v>1070</v>
      </c>
      <c r="Q90" t="s">
        <v>609</v>
      </c>
      <c r="R90" t="s">
        <v>610</v>
      </c>
    </row>
    <row r="91" spans="1:18" x14ac:dyDescent="0.35">
      <c r="A91" t="s">
        <v>96</v>
      </c>
      <c r="B91" s="1">
        <v>45681</v>
      </c>
      <c r="C91" t="s">
        <v>296</v>
      </c>
      <c r="D91" t="s">
        <v>496</v>
      </c>
      <c r="E91">
        <v>7</v>
      </c>
      <c r="F91" s="6">
        <v>2500</v>
      </c>
      <c r="G91" s="6">
        <f t="shared" si="8"/>
        <v>17500</v>
      </c>
      <c r="H91" s="2">
        <v>0.1</v>
      </c>
      <c r="I91" s="6">
        <f t="shared" si="9"/>
        <v>1750</v>
      </c>
      <c r="J91" s="6">
        <f t="shared" si="7"/>
        <v>7000</v>
      </c>
      <c r="K91" s="6">
        <f t="shared" si="10"/>
        <v>22750</v>
      </c>
      <c r="L91" s="6">
        <f t="shared" si="11"/>
        <v>5250</v>
      </c>
      <c r="M91" s="6" t="str" cm="1">
        <f t="array" ref="M91">_xlfn.XLOOKUP(Orders!C91,Customers!A92:A291,Customers!G92:'Customers'!G291,"Not Found")</f>
        <v>Anika Joshi</v>
      </c>
      <c r="N91" s="4" t="str">
        <f t="shared" si="12"/>
        <v>Medium</v>
      </c>
      <c r="O91" t="s">
        <v>1033</v>
      </c>
      <c r="P91" t="s">
        <v>1073</v>
      </c>
      <c r="Q91" t="s">
        <v>609</v>
      </c>
      <c r="R91" t="s">
        <v>610</v>
      </c>
    </row>
    <row r="92" spans="1:18" x14ac:dyDescent="0.35">
      <c r="A92" t="s">
        <v>97</v>
      </c>
      <c r="B92" s="1">
        <v>45681</v>
      </c>
      <c r="C92" t="s">
        <v>297</v>
      </c>
      <c r="D92" t="s">
        <v>497</v>
      </c>
      <c r="E92">
        <v>8</v>
      </c>
      <c r="F92" s="6">
        <v>799</v>
      </c>
      <c r="G92" s="6">
        <f t="shared" si="8"/>
        <v>6392</v>
      </c>
      <c r="H92" s="2">
        <v>0</v>
      </c>
      <c r="I92" s="6">
        <f t="shared" si="9"/>
        <v>0</v>
      </c>
      <c r="J92" s="6">
        <f t="shared" si="7"/>
        <v>2556.8000000000002</v>
      </c>
      <c r="K92" s="6">
        <f t="shared" si="10"/>
        <v>8948.7999999999993</v>
      </c>
      <c r="L92" s="6">
        <f t="shared" si="11"/>
        <v>2556.7999999999993</v>
      </c>
      <c r="M92" s="6" t="str" cm="1">
        <f t="array" ref="M92">_xlfn.XLOOKUP(Orders!C92,Customers!A93:A292,Customers!G93:'Customers'!G292,"Not Found")</f>
        <v>Dhruv Chawla</v>
      </c>
      <c r="N92" s="4" t="str">
        <f t="shared" si="12"/>
        <v>Small</v>
      </c>
      <c r="O92" t="s">
        <v>1013</v>
      </c>
      <c r="P92" t="s">
        <v>1066</v>
      </c>
      <c r="Q92" t="s">
        <v>611</v>
      </c>
      <c r="R92" t="s">
        <v>613</v>
      </c>
    </row>
    <row r="93" spans="1:18" x14ac:dyDescent="0.35">
      <c r="A93" t="s">
        <v>98</v>
      </c>
      <c r="B93" s="1">
        <v>45681</v>
      </c>
      <c r="C93" t="s">
        <v>298</v>
      </c>
      <c r="D93" t="s">
        <v>498</v>
      </c>
      <c r="E93">
        <v>8</v>
      </c>
      <c r="F93" s="6">
        <v>1200</v>
      </c>
      <c r="G93" s="6">
        <f t="shared" si="8"/>
        <v>9600</v>
      </c>
      <c r="H93" s="2">
        <v>0.05</v>
      </c>
      <c r="I93" s="6">
        <f t="shared" si="9"/>
        <v>480</v>
      </c>
      <c r="J93" s="6">
        <f t="shared" si="7"/>
        <v>3840</v>
      </c>
      <c r="K93" s="6">
        <f t="shared" si="10"/>
        <v>12960</v>
      </c>
      <c r="L93" s="6">
        <f t="shared" si="11"/>
        <v>3360</v>
      </c>
      <c r="M93" s="6" t="str" cm="1">
        <f t="array" ref="M93">_xlfn.XLOOKUP(Orders!C93,Customers!A94:A293,Customers!G94:'Customers'!G293,"Not Found")</f>
        <v>Saanvi Goyal</v>
      </c>
      <c r="N93" s="4" t="str">
        <f t="shared" si="12"/>
        <v>Medium</v>
      </c>
      <c r="O93" t="s">
        <v>1013</v>
      </c>
      <c r="P93" t="s">
        <v>1062</v>
      </c>
      <c r="Q93" t="s">
        <v>611</v>
      </c>
      <c r="R93" t="s">
        <v>613</v>
      </c>
    </row>
    <row r="94" spans="1:18" x14ac:dyDescent="0.35">
      <c r="A94" t="s">
        <v>99</v>
      </c>
      <c r="B94" s="1">
        <v>45681</v>
      </c>
      <c r="C94" t="s">
        <v>299</v>
      </c>
      <c r="D94" t="s">
        <v>499</v>
      </c>
      <c r="E94">
        <v>8</v>
      </c>
      <c r="F94" s="6">
        <v>3450</v>
      </c>
      <c r="G94" s="6">
        <f t="shared" si="8"/>
        <v>27600</v>
      </c>
      <c r="H94" s="2">
        <v>0.1</v>
      </c>
      <c r="I94" s="6">
        <f t="shared" si="9"/>
        <v>2760</v>
      </c>
      <c r="J94" s="6">
        <f t="shared" si="7"/>
        <v>11040</v>
      </c>
      <c r="K94" s="6">
        <f t="shared" si="10"/>
        <v>35880</v>
      </c>
      <c r="L94" s="6">
        <f t="shared" si="11"/>
        <v>8280</v>
      </c>
      <c r="M94" s="6" t="str" cm="1">
        <f t="array" ref="M94">_xlfn.XLOOKUP(Orders!C94,Customers!A95:A294,Customers!G95:'Customers'!G294,"Not Found")</f>
        <v>Rudra Pillai</v>
      </c>
      <c r="N94" s="4" t="str">
        <f t="shared" si="12"/>
        <v>Large</v>
      </c>
      <c r="O94" t="s">
        <v>1013</v>
      </c>
      <c r="P94" t="s">
        <v>1057</v>
      </c>
      <c r="Q94" t="s">
        <v>609</v>
      </c>
      <c r="R94" t="s">
        <v>613</v>
      </c>
    </row>
    <row r="95" spans="1:18" x14ac:dyDescent="0.35">
      <c r="A95" t="s">
        <v>100</v>
      </c>
      <c r="B95" s="1">
        <v>45681</v>
      </c>
      <c r="C95" t="s">
        <v>300</v>
      </c>
      <c r="D95" t="s">
        <v>500</v>
      </c>
      <c r="E95">
        <v>9</v>
      </c>
      <c r="F95" s="6">
        <v>8100</v>
      </c>
      <c r="G95" s="6">
        <f t="shared" si="8"/>
        <v>72900</v>
      </c>
      <c r="H95" s="2">
        <v>0.1</v>
      </c>
      <c r="I95" s="6">
        <f t="shared" si="9"/>
        <v>7290</v>
      </c>
      <c r="J95" s="6">
        <f t="shared" si="7"/>
        <v>29160</v>
      </c>
      <c r="K95" s="6">
        <f t="shared" si="10"/>
        <v>94770</v>
      </c>
      <c r="L95" s="6">
        <f t="shared" si="11"/>
        <v>21870</v>
      </c>
      <c r="M95" s="6" t="str" cm="1">
        <f t="array" ref="M95">_xlfn.XLOOKUP(Orders!C95,Customers!A96:A295,Customers!G96:'Customers'!G295,"Not Found")</f>
        <v>Navya Tripathi</v>
      </c>
      <c r="N95" s="4" t="str">
        <f t="shared" si="12"/>
        <v>Large</v>
      </c>
      <c r="O95" t="s">
        <v>1032</v>
      </c>
      <c r="P95" t="s">
        <v>1074</v>
      </c>
      <c r="Q95" t="s">
        <v>609</v>
      </c>
      <c r="R95" t="s">
        <v>613</v>
      </c>
    </row>
    <row r="96" spans="1:18" x14ac:dyDescent="0.35">
      <c r="A96" t="s">
        <v>101</v>
      </c>
      <c r="B96" s="1">
        <v>45681</v>
      </c>
      <c r="C96" t="s">
        <v>301</v>
      </c>
      <c r="D96" t="s">
        <v>501</v>
      </c>
      <c r="E96">
        <v>6</v>
      </c>
      <c r="F96" s="6">
        <v>550</v>
      </c>
      <c r="G96" s="6">
        <f t="shared" si="8"/>
        <v>3300</v>
      </c>
      <c r="H96" s="2">
        <v>0</v>
      </c>
      <c r="I96" s="6">
        <f t="shared" si="9"/>
        <v>0</v>
      </c>
      <c r="J96" s="6">
        <f t="shared" si="7"/>
        <v>1320</v>
      </c>
      <c r="K96" s="6">
        <f t="shared" si="10"/>
        <v>4620</v>
      </c>
      <c r="L96" s="6">
        <f t="shared" si="11"/>
        <v>1320</v>
      </c>
      <c r="M96" s="6" t="str" cm="1">
        <f t="array" ref="M96">_xlfn.XLOOKUP(Orders!C96,Customers!A97:A296,Customers!G97:'Customers'!G296,"Not Found")</f>
        <v>Ayush Bhatt</v>
      </c>
      <c r="N96" s="4" t="str">
        <f t="shared" si="12"/>
        <v>Micro</v>
      </c>
      <c r="O96" t="s">
        <v>1014</v>
      </c>
      <c r="P96" t="s">
        <v>1066</v>
      </c>
      <c r="Q96" t="s">
        <v>609</v>
      </c>
      <c r="R96" t="s">
        <v>613</v>
      </c>
    </row>
    <row r="97" spans="1:18" x14ac:dyDescent="0.35">
      <c r="A97" t="s">
        <v>102</v>
      </c>
      <c r="B97" s="1">
        <v>45682</v>
      </c>
      <c r="C97" t="s">
        <v>302</v>
      </c>
      <c r="D97" t="s">
        <v>502</v>
      </c>
      <c r="E97">
        <v>5</v>
      </c>
      <c r="F97" s="6">
        <v>1200</v>
      </c>
      <c r="G97" s="6">
        <f t="shared" si="8"/>
        <v>6000</v>
      </c>
      <c r="H97" s="2">
        <v>0</v>
      </c>
      <c r="I97" s="6">
        <f t="shared" si="9"/>
        <v>0</v>
      </c>
      <c r="J97" s="6">
        <f t="shared" si="7"/>
        <v>2400</v>
      </c>
      <c r="K97" s="6">
        <f t="shared" si="10"/>
        <v>8400</v>
      </c>
      <c r="L97" s="6">
        <f t="shared" si="11"/>
        <v>2400</v>
      </c>
      <c r="M97" s="6" t="str" cm="1">
        <f t="array" ref="M97">_xlfn.XLOOKUP(Orders!C97,Customers!A98:A297,Customers!G98:'Customers'!G297,"Not Found")</f>
        <v>Tanya Kapoor</v>
      </c>
      <c r="N97" s="4" t="str">
        <f t="shared" si="12"/>
        <v>Small</v>
      </c>
      <c r="O97" t="s">
        <v>1013</v>
      </c>
      <c r="P97" t="s">
        <v>1075</v>
      </c>
      <c r="Q97" t="s">
        <v>611</v>
      </c>
      <c r="R97" t="s">
        <v>613</v>
      </c>
    </row>
    <row r="98" spans="1:18" x14ac:dyDescent="0.35">
      <c r="A98" t="s">
        <v>103</v>
      </c>
      <c r="B98" s="1">
        <v>45682</v>
      </c>
      <c r="C98" t="s">
        <v>303</v>
      </c>
      <c r="D98" t="s">
        <v>503</v>
      </c>
      <c r="E98">
        <v>4</v>
      </c>
      <c r="F98" s="6">
        <v>200</v>
      </c>
      <c r="G98" s="6">
        <f t="shared" si="8"/>
        <v>800</v>
      </c>
      <c r="H98" s="2">
        <v>0</v>
      </c>
      <c r="I98" s="6">
        <f t="shared" si="9"/>
        <v>0</v>
      </c>
      <c r="J98" s="6">
        <f t="shared" si="7"/>
        <v>320</v>
      </c>
      <c r="K98" s="6">
        <f t="shared" si="10"/>
        <v>1120</v>
      </c>
      <c r="L98" s="6">
        <f t="shared" si="11"/>
        <v>320</v>
      </c>
      <c r="M98" s="6" t="str" cm="1">
        <f t="array" ref="M98">_xlfn.XLOOKUP(Orders!C98,Customers!A99:A298,Customers!G99:'Customers'!G298,"Not Found")</f>
        <v>Arnav Nair</v>
      </c>
      <c r="N98" s="4" t="str">
        <f t="shared" si="12"/>
        <v>Micro</v>
      </c>
      <c r="O98" t="s">
        <v>1014</v>
      </c>
      <c r="P98" t="s">
        <v>1066</v>
      </c>
      <c r="Q98" t="s">
        <v>611</v>
      </c>
      <c r="R98" t="s">
        <v>613</v>
      </c>
    </row>
    <row r="99" spans="1:18" x14ac:dyDescent="0.35">
      <c r="A99" t="s">
        <v>104</v>
      </c>
      <c r="B99" s="1">
        <v>45682</v>
      </c>
      <c r="C99" t="s">
        <v>304</v>
      </c>
      <c r="D99" t="s">
        <v>504</v>
      </c>
      <c r="E99">
        <v>3</v>
      </c>
      <c r="F99" s="6">
        <v>550</v>
      </c>
      <c r="G99" s="6">
        <f t="shared" si="8"/>
        <v>1650</v>
      </c>
      <c r="H99" s="2">
        <v>0</v>
      </c>
      <c r="I99" s="6">
        <f t="shared" si="9"/>
        <v>0</v>
      </c>
      <c r="J99" s="6">
        <f t="shared" si="7"/>
        <v>660</v>
      </c>
      <c r="K99" s="6">
        <f t="shared" si="10"/>
        <v>2310</v>
      </c>
      <c r="L99" s="6">
        <f t="shared" si="11"/>
        <v>660</v>
      </c>
      <c r="M99" s="6" t="str" cm="1">
        <f t="array" ref="M99">_xlfn.XLOOKUP(Orders!C99,Customers!A100:A299,Customers!G100:'Customers'!G299,"Not Found")</f>
        <v>Ira Rao</v>
      </c>
      <c r="N99" s="4" t="str">
        <f t="shared" si="12"/>
        <v>Micro</v>
      </c>
      <c r="O99" t="s">
        <v>1016</v>
      </c>
      <c r="P99" t="s">
        <v>1076</v>
      </c>
      <c r="Q99" t="s">
        <v>611</v>
      </c>
      <c r="R99" t="s">
        <v>613</v>
      </c>
    </row>
    <row r="100" spans="1:18" x14ac:dyDescent="0.35">
      <c r="A100" t="s">
        <v>105</v>
      </c>
      <c r="B100" s="1">
        <v>45682</v>
      </c>
      <c r="C100" t="s">
        <v>305</v>
      </c>
      <c r="D100" t="s">
        <v>505</v>
      </c>
      <c r="E100">
        <v>3</v>
      </c>
      <c r="F100" s="6">
        <v>650</v>
      </c>
      <c r="G100" s="6">
        <f t="shared" si="8"/>
        <v>1950</v>
      </c>
      <c r="H100" s="2">
        <v>0</v>
      </c>
      <c r="I100" s="6">
        <f t="shared" si="9"/>
        <v>0</v>
      </c>
      <c r="J100" s="6">
        <f t="shared" ref="J100:J131" si="13">G100*0.4</f>
        <v>780</v>
      </c>
      <c r="K100" s="6">
        <f t="shared" si="10"/>
        <v>2730</v>
      </c>
      <c r="L100" s="6">
        <f t="shared" si="11"/>
        <v>780</v>
      </c>
      <c r="M100" s="6" t="str" cm="1">
        <f t="array" ref="M100">_xlfn.XLOOKUP(Orders!C100,Customers!A101:A300,Customers!G101:'Customers'!G300,"Not Found")</f>
        <v>Shaurya Bhatia</v>
      </c>
      <c r="N100" s="4" t="str">
        <f t="shared" si="12"/>
        <v>Micro</v>
      </c>
      <c r="O100" t="s">
        <v>1013</v>
      </c>
      <c r="P100" t="s">
        <v>1077</v>
      </c>
      <c r="Q100" t="s">
        <v>611</v>
      </c>
      <c r="R100" t="s">
        <v>613</v>
      </c>
    </row>
    <row r="101" spans="1:18" x14ac:dyDescent="0.35">
      <c r="A101" t="s">
        <v>106</v>
      </c>
      <c r="B101" s="1">
        <v>45682</v>
      </c>
      <c r="C101" t="s">
        <v>306</v>
      </c>
      <c r="D101" t="s">
        <v>506</v>
      </c>
      <c r="E101">
        <v>8</v>
      </c>
      <c r="F101" s="6">
        <v>3000</v>
      </c>
      <c r="G101" s="6">
        <f t="shared" si="8"/>
        <v>24000</v>
      </c>
      <c r="H101" s="2">
        <v>0</v>
      </c>
      <c r="I101" s="6">
        <f t="shared" si="9"/>
        <v>0</v>
      </c>
      <c r="J101" s="6">
        <f t="shared" si="13"/>
        <v>9600</v>
      </c>
      <c r="K101" s="6">
        <f t="shared" si="10"/>
        <v>33600</v>
      </c>
      <c r="L101" s="6">
        <f t="shared" si="11"/>
        <v>9600</v>
      </c>
      <c r="M101" s="6" t="str" cm="1">
        <f t="array" ref="M101">_xlfn.XLOOKUP(Orders!C101,Customers!A102:A301,Customers!G102:'Customers'!G301,"Not Found")</f>
        <v>Mahi Menon</v>
      </c>
      <c r="N101" s="4" t="str">
        <f t="shared" si="12"/>
        <v>Large</v>
      </c>
      <c r="O101" t="s">
        <v>1013</v>
      </c>
      <c r="P101" t="s">
        <v>1078</v>
      </c>
      <c r="Q101" t="s">
        <v>609</v>
      </c>
      <c r="R101" t="s">
        <v>613</v>
      </c>
    </row>
    <row r="102" spans="1:18" x14ac:dyDescent="0.35">
      <c r="A102" t="s">
        <v>107</v>
      </c>
      <c r="B102" s="1">
        <v>45682</v>
      </c>
      <c r="C102" t="s">
        <v>307</v>
      </c>
      <c r="D102" t="s">
        <v>507</v>
      </c>
      <c r="E102">
        <v>7</v>
      </c>
      <c r="F102" s="6">
        <v>700</v>
      </c>
      <c r="G102" s="6">
        <f t="shared" si="8"/>
        <v>4900</v>
      </c>
      <c r="H102" s="2">
        <v>0</v>
      </c>
      <c r="I102" s="6">
        <f t="shared" si="9"/>
        <v>0</v>
      </c>
      <c r="J102" s="6">
        <f t="shared" si="13"/>
        <v>1960</v>
      </c>
      <c r="K102" s="6">
        <f t="shared" si="10"/>
        <v>6860</v>
      </c>
      <c r="L102" s="6">
        <f t="shared" si="11"/>
        <v>1960</v>
      </c>
      <c r="M102" s="6" t="str" cm="1">
        <f t="array" ref="M102">_xlfn.XLOOKUP(Orders!C102,Customers!A103:A302,Customers!G103:'Customers'!G302,"Not Found")</f>
        <v>Parth Shukla</v>
      </c>
      <c r="N102" s="4" t="str">
        <f t="shared" si="12"/>
        <v>Small</v>
      </c>
      <c r="O102" t="s">
        <v>1014</v>
      </c>
      <c r="P102" t="s">
        <v>1078</v>
      </c>
      <c r="Q102" t="s">
        <v>611</v>
      </c>
      <c r="R102" t="s">
        <v>613</v>
      </c>
    </row>
    <row r="103" spans="1:18" x14ac:dyDescent="0.35">
      <c r="A103" t="s">
        <v>108</v>
      </c>
      <c r="B103" s="1">
        <v>45682</v>
      </c>
      <c r="C103" t="s">
        <v>308</v>
      </c>
      <c r="D103" t="s">
        <v>508</v>
      </c>
      <c r="E103">
        <v>6</v>
      </c>
      <c r="F103" s="6">
        <v>14500</v>
      </c>
      <c r="G103" s="6">
        <f t="shared" si="8"/>
        <v>87000</v>
      </c>
      <c r="H103" s="2">
        <v>0.25</v>
      </c>
      <c r="I103" s="6">
        <f t="shared" si="9"/>
        <v>21750</v>
      </c>
      <c r="J103" s="6">
        <f t="shared" si="13"/>
        <v>34800</v>
      </c>
      <c r="K103" s="6">
        <f t="shared" si="10"/>
        <v>100050</v>
      </c>
      <c r="L103" s="6">
        <f t="shared" si="11"/>
        <v>13050</v>
      </c>
      <c r="M103" s="6" t="str" cm="1">
        <f t="array" ref="M103">_xlfn.XLOOKUP(Orders!C103,Customers!A104:A303,Customers!G104:'Customers'!G303,"Not Found")</f>
        <v>Aanya Ahuja</v>
      </c>
      <c r="N103" s="4" t="str">
        <f t="shared" si="12"/>
        <v>Industrial</v>
      </c>
      <c r="O103" t="s">
        <v>1013</v>
      </c>
      <c r="P103" t="s">
        <v>1066</v>
      </c>
      <c r="Q103" t="s">
        <v>609</v>
      </c>
      <c r="R103" t="s">
        <v>613</v>
      </c>
    </row>
    <row r="104" spans="1:18" x14ac:dyDescent="0.35">
      <c r="A104" t="s">
        <v>109</v>
      </c>
      <c r="B104" s="1">
        <v>45682</v>
      </c>
      <c r="C104" t="s">
        <v>309</v>
      </c>
      <c r="D104" t="s">
        <v>509</v>
      </c>
      <c r="E104">
        <v>5</v>
      </c>
      <c r="F104" s="6">
        <v>12500</v>
      </c>
      <c r="G104" s="6">
        <f t="shared" si="8"/>
        <v>62500</v>
      </c>
      <c r="H104" s="2">
        <v>0.2</v>
      </c>
      <c r="I104" s="6">
        <f t="shared" si="9"/>
        <v>12500</v>
      </c>
      <c r="J104" s="6">
        <f t="shared" si="13"/>
        <v>25000</v>
      </c>
      <c r="K104" s="6">
        <f t="shared" si="10"/>
        <v>75000</v>
      </c>
      <c r="L104" s="6">
        <f t="shared" si="11"/>
        <v>12500</v>
      </c>
      <c r="M104" s="6" t="str" cm="1">
        <f t="array" ref="M104">_xlfn.XLOOKUP(Orders!C104,Customers!A105:A304,Customers!G105:'Customers'!G304,"Not Found")</f>
        <v>Aarav Kapoor</v>
      </c>
      <c r="N104" s="4" t="str">
        <f t="shared" si="12"/>
        <v>Large</v>
      </c>
      <c r="O104" t="s">
        <v>1013</v>
      </c>
      <c r="P104" t="s">
        <v>1066</v>
      </c>
      <c r="Q104" t="s">
        <v>609</v>
      </c>
      <c r="R104" t="s">
        <v>613</v>
      </c>
    </row>
    <row r="105" spans="1:18" x14ac:dyDescent="0.35">
      <c r="A105" t="s">
        <v>110</v>
      </c>
      <c r="B105" s="1">
        <v>45682</v>
      </c>
      <c r="C105" t="s">
        <v>310</v>
      </c>
      <c r="D105" t="s">
        <v>510</v>
      </c>
      <c r="E105">
        <v>4</v>
      </c>
      <c r="F105" s="6">
        <v>10500</v>
      </c>
      <c r="G105" s="6">
        <f t="shared" si="8"/>
        <v>42000</v>
      </c>
      <c r="H105" s="2">
        <v>0.15</v>
      </c>
      <c r="I105" s="6">
        <f t="shared" si="9"/>
        <v>6300</v>
      </c>
      <c r="J105" s="6">
        <f t="shared" si="13"/>
        <v>16800</v>
      </c>
      <c r="K105" s="6">
        <f t="shared" si="10"/>
        <v>52500</v>
      </c>
      <c r="L105" s="6">
        <f t="shared" si="11"/>
        <v>10500</v>
      </c>
      <c r="M105" s="6" t="str" cm="1">
        <f t="array" ref="M105">_xlfn.XLOOKUP(Orders!C105,Customers!A106:A305,Customers!G106:'Customers'!G305,"Not Found")</f>
        <v>Aditi Nair</v>
      </c>
      <c r="N105" s="4" t="str">
        <f t="shared" si="12"/>
        <v>Large</v>
      </c>
      <c r="O105" t="s">
        <v>1013</v>
      </c>
      <c r="P105" t="s">
        <v>1079</v>
      </c>
      <c r="Q105" t="s">
        <v>609</v>
      </c>
      <c r="R105" t="s">
        <v>613</v>
      </c>
    </row>
    <row r="106" spans="1:18" x14ac:dyDescent="0.35">
      <c r="A106" t="s">
        <v>111</v>
      </c>
      <c r="B106" s="1">
        <v>45682</v>
      </c>
      <c r="C106" t="s">
        <v>311</v>
      </c>
      <c r="D106" t="s">
        <v>511</v>
      </c>
      <c r="E106">
        <v>5</v>
      </c>
      <c r="F106" s="6">
        <v>25000</v>
      </c>
      <c r="G106" s="6">
        <f t="shared" si="8"/>
        <v>125000</v>
      </c>
      <c r="H106" s="2">
        <v>0.15</v>
      </c>
      <c r="I106" s="6">
        <f t="shared" si="9"/>
        <v>18750</v>
      </c>
      <c r="J106" s="6">
        <f t="shared" si="13"/>
        <v>50000</v>
      </c>
      <c r="K106" s="6">
        <f t="shared" si="10"/>
        <v>156250</v>
      </c>
      <c r="L106" s="6">
        <f t="shared" si="11"/>
        <v>31250</v>
      </c>
      <c r="M106" s="6" t="str" cm="1">
        <f t="array" ref="M106">_xlfn.XLOOKUP(Orders!C106,Customers!A107:A306,Customers!G107:'Customers'!G306,"Not Found")</f>
        <v>Arjun Rao</v>
      </c>
      <c r="N106" s="4" t="str">
        <f t="shared" si="12"/>
        <v>Wholesale</v>
      </c>
      <c r="O106" t="s">
        <v>1013</v>
      </c>
      <c r="P106" t="s">
        <v>1080</v>
      </c>
      <c r="Q106" t="s">
        <v>615</v>
      </c>
      <c r="R106" t="s">
        <v>613</v>
      </c>
    </row>
    <row r="107" spans="1:18" x14ac:dyDescent="0.35">
      <c r="A107" t="s">
        <v>112</v>
      </c>
      <c r="B107" s="1">
        <v>45682</v>
      </c>
      <c r="C107" t="s">
        <v>312</v>
      </c>
      <c r="D107" t="s">
        <v>512</v>
      </c>
      <c r="E107">
        <v>3</v>
      </c>
      <c r="F107" s="6">
        <v>12000</v>
      </c>
      <c r="G107" s="6">
        <f t="shared" si="8"/>
        <v>36000</v>
      </c>
      <c r="H107" s="2">
        <v>0.1</v>
      </c>
      <c r="I107" s="6">
        <f t="shared" si="9"/>
        <v>3600</v>
      </c>
      <c r="J107" s="6">
        <f t="shared" si="13"/>
        <v>14400</v>
      </c>
      <c r="K107" s="6">
        <f t="shared" si="10"/>
        <v>46800</v>
      </c>
      <c r="L107" s="6">
        <f t="shared" si="11"/>
        <v>10800</v>
      </c>
      <c r="M107" s="6" t="str" cm="1">
        <f t="array" ref="M107">_xlfn.XLOOKUP(Orders!C107,Customers!A108:A307,Customers!G108:'Customers'!G307,"Not Found")</f>
        <v>Ananya Bhatia</v>
      </c>
      <c r="N107" s="4" t="str">
        <f t="shared" si="12"/>
        <v>Large</v>
      </c>
      <c r="O107" t="s">
        <v>1013</v>
      </c>
      <c r="P107" t="s">
        <v>1066</v>
      </c>
      <c r="Q107" t="s">
        <v>616</v>
      </c>
      <c r="R107" t="s">
        <v>613</v>
      </c>
    </row>
    <row r="108" spans="1:18" x14ac:dyDescent="0.35">
      <c r="A108" t="s">
        <v>113</v>
      </c>
      <c r="B108" s="1">
        <v>45682</v>
      </c>
      <c r="C108" t="s">
        <v>313</v>
      </c>
      <c r="D108" t="s">
        <v>513</v>
      </c>
      <c r="E108">
        <v>2</v>
      </c>
      <c r="F108" s="6">
        <v>20000</v>
      </c>
      <c r="G108" s="6">
        <f t="shared" si="8"/>
        <v>40000</v>
      </c>
      <c r="H108" s="2">
        <v>0.25</v>
      </c>
      <c r="I108" s="6">
        <f t="shared" si="9"/>
        <v>10000</v>
      </c>
      <c r="J108" s="6">
        <f t="shared" si="13"/>
        <v>16000</v>
      </c>
      <c r="K108" s="6">
        <f t="shared" si="10"/>
        <v>46000</v>
      </c>
      <c r="L108" s="6">
        <f t="shared" si="11"/>
        <v>6000</v>
      </c>
      <c r="M108" s="6" t="str" cm="1">
        <f t="array" ref="M108">_xlfn.XLOOKUP(Orders!C108,Customers!A109:A308,Customers!G109:'Customers'!G308,"Not Found")</f>
        <v>Aditya Menon</v>
      </c>
      <c r="N108" s="4" t="str">
        <f t="shared" si="12"/>
        <v>Large</v>
      </c>
      <c r="O108" t="s">
        <v>1013</v>
      </c>
      <c r="P108" t="s">
        <v>1081</v>
      </c>
      <c r="Q108" t="s">
        <v>609</v>
      </c>
      <c r="R108" t="s">
        <v>613</v>
      </c>
    </row>
    <row r="109" spans="1:18" x14ac:dyDescent="0.35">
      <c r="A109" t="s">
        <v>114</v>
      </c>
      <c r="B109" s="1">
        <v>45682</v>
      </c>
      <c r="C109" t="s">
        <v>314</v>
      </c>
      <c r="D109" t="s">
        <v>514</v>
      </c>
      <c r="E109">
        <v>3</v>
      </c>
      <c r="F109" s="6">
        <v>30000</v>
      </c>
      <c r="G109" s="6">
        <f t="shared" si="8"/>
        <v>90000</v>
      </c>
      <c r="H109" s="2">
        <v>0.16</v>
      </c>
      <c r="I109" s="6">
        <f t="shared" si="9"/>
        <v>14400</v>
      </c>
      <c r="J109" s="6">
        <f t="shared" si="13"/>
        <v>36000</v>
      </c>
      <c r="K109" s="6">
        <f t="shared" si="10"/>
        <v>111600</v>
      </c>
      <c r="L109" s="6">
        <f t="shared" si="11"/>
        <v>21600</v>
      </c>
      <c r="M109" s="6" t="str" cm="1">
        <f t="array" ref="M109">_xlfn.XLOOKUP(Orders!C109,Customers!A110:A309,Customers!G110:'Customers'!G309,"Not Found")</f>
        <v>Ishita Shukla</v>
      </c>
      <c r="N109" s="4" t="str">
        <f t="shared" si="12"/>
        <v>Industrial</v>
      </c>
      <c r="O109" t="s">
        <v>1013</v>
      </c>
      <c r="P109" t="s">
        <v>1082</v>
      </c>
      <c r="Q109" t="s">
        <v>615</v>
      </c>
      <c r="R109" t="s">
        <v>613</v>
      </c>
    </row>
    <row r="110" spans="1:18" x14ac:dyDescent="0.35">
      <c r="A110" t="s">
        <v>115</v>
      </c>
      <c r="B110" s="1">
        <v>45682</v>
      </c>
      <c r="C110" t="s">
        <v>315</v>
      </c>
      <c r="D110" t="s">
        <v>515</v>
      </c>
      <c r="E110">
        <v>4</v>
      </c>
      <c r="F110" s="6">
        <v>40000</v>
      </c>
      <c r="G110" s="6">
        <f t="shared" si="8"/>
        <v>160000</v>
      </c>
      <c r="H110" s="2">
        <v>0.05</v>
      </c>
      <c r="I110" s="6">
        <f t="shared" si="9"/>
        <v>8000</v>
      </c>
      <c r="J110" s="6">
        <f t="shared" si="13"/>
        <v>64000</v>
      </c>
      <c r="K110" s="6">
        <f t="shared" si="10"/>
        <v>216000</v>
      </c>
      <c r="L110" s="6">
        <f t="shared" si="11"/>
        <v>56000</v>
      </c>
      <c r="M110" s="6" t="str" cm="1">
        <f t="array" ref="M110">_xlfn.XLOOKUP(Orders!C110,Customers!A111:A310,Customers!G111:'Customers'!G310,"Not Found")</f>
        <v>Kabir Ahuja</v>
      </c>
      <c r="N110" s="4" t="str">
        <f t="shared" si="12"/>
        <v>Wholesale</v>
      </c>
      <c r="O110" t="s">
        <v>1013</v>
      </c>
      <c r="P110" t="s">
        <v>1062</v>
      </c>
      <c r="Q110" t="s">
        <v>615</v>
      </c>
      <c r="R110" t="s">
        <v>613</v>
      </c>
    </row>
    <row r="111" spans="1:18" x14ac:dyDescent="0.35">
      <c r="A111" t="s">
        <v>116</v>
      </c>
      <c r="B111" s="1">
        <v>45682</v>
      </c>
      <c r="C111" t="s">
        <v>316</v>
      </c>
      <c r="D111" t="s">
        <v>516</v>
      </c>
      <c r="E111">
        <v>4</v>
      </c>
      <c r="F111" s="6">
        <v>32000</v>
      </c>
      <c r="G111" s="6">
        <f t="shared" si="8"/>
        <v>128000</v>
      </c>
      <c r="H111" s="2">
        <v>0.05</v>
      </c>
      <c r="I111" s="6">
        <f t="shared" si="9"/>
        <v>6400</v>
      </c>
      <c r="J111" s="6">
        <f t="shared" si="13"/>
        <v>51200</v>
      </c>
      <c r="K111" s="6">
        <f t="shared" si="10"/>
        <v>172800</v>
      </c>
      <c r="L111" s="6">
        <f t="shared" si="11"/>
        <v>44800</v>
      </c>
      <c r="M111" s="6" t="str" cm="1">
        <f t="array" ref="M111">_xlfn.XLOOKUP(Orders!C111,Customers!A112:A311,Customers!G112:'Customers'!G311,"Not Found")</f>
        <v>Meera Singh</v>
      </c>
      <c r="N111" s="4" t="str">
        <f t="shared" si="12"/>
        <v>Wholesale</v>
      </c>
      <c r="O111" t="s">
        <v>1013</v>
      </c>
      <c r="P111" t="s">
        <v>1066</v>
      </c>
      <c r="Q111" t="s">
        <v>616</v>
      </c>
      <c r="R111" t="s">
        <v>613</v>
      </c>
    </row>
    <row r="112" spans="1:18" x14ac:dyDescent="0.35">
      <c r="A112" t="s">
        <v>117</v>
      </c>
      <c r="B112" s="1">
        <v>45682</v>
      </c>
      <c r="C112" t="s">
        <v>317</v>
      </c>
      <c r="D112" t="s">
        <v>517</v>
      </c>
      <c r="E112">
        <v>2</v>
      </c>
      <c r="F112" s="6">
        <v>70000</v>
      </c>
      <c r="G112" s="6">
        <f t="shared" si="8"/>
        <v>140000</v>
      </c>
      <c r="H112" s="2">
        <v>0.05</v>
      </c>
      <c r="I112" s="6">
        <f t="shared" si="9"/>
        <v>7000</v>
      </c>
      <c r="J112" s="6">
        <f t="shared" si="13"/>
        <v>56000</v>
      </c>
      <c r="K112" s="6">
        <f t="shared" si="10"/>
        <v>189000</v>
      </c>
      <c r="L112" s="6">
        <f t="shared" si="11"/>
        <v>49000</v>
      </c>
      <c r="M112" s="6" t="str" cm="1">
        <f t="array" ref="M112">_xlfn.XLOOKUP(Orders!C112,Customers!A113:A312,Customers!G113:'Customers'!G312,"Not Found")</f>
        <v>Rohan Reddy</v>
      </c>
      <c r="N112" s="4" t="str">
        <f t="shared" si="12"/>
        <v>Wholesale</v>
      </c>
      <c r="O112" t="s">
        <v>1013</v>
      </c>
      <c r="P112" t="s">
        <v>1053</v>
      </c>
      <c r="Q112" t="s">
        <v>616</v>
      </c>
      <c r="R112" t="s">
        <v>613</v>
      </c>
    </row>
    <row r="113" spans="1:18" x14ac:dyDescent="0.35">
      <c r="A113" t="s">
        <v>118</v>
      </c>
      <c r="B113" s="1">
        <v>45682</v>
      </c>
      <c r="C113" t="s">
        <v>318</v>
      </c>
      <c r="D113" t="s">
        <v>518</v>
      </c>
      <c r="E113">
        <v>11</v>
      </c>
      <c r="F113" s="6">
        <v>15600</v>
      </c>
      <c r="G113" s="6">
        <f t="shared" si="8"/>
        <v>171600</v>
      </c>
      <c r="H113" s="2">
        <v>0.1</v>
      </c>
      <c r="I113" s="6">
        <f t="shared" si="9"/>
        <v>17160</v>
      </c>
      <c r="J113" s="6">
        <f t="shared" si="13"/>
        <v>68640</v>
      </c>
      <c r="K113" s="6">
        <f t="shared" si="10"/>
        <v>223080</v>
      </c>
      <c r="L113" s="6">
        <f t="shared" si="11"/>
        <v>51480</v>
      </c>
      <c r="M113" s="6" t="str" cm="1">
        <f t="array" ref="M113">_xlfn.XLOOKUP(Orders!C113,Customers!A114:A313,Customers!G114:'Customers'!G313,"Not Found")</f>
        <v>Priya Das</v>
      </c>
      <c r="N113" s="4" t="str">
        <f t="shared" si="12"/>
        <v>Wholesale</v>
      </c>
      <c r="O113" t="s">
        <v>1013</v>
      </c>
      <c r="P113" t="s">
        <v>1063</v>
      </c>
      <c r="Q113" t="s">
        <v>615</v>
      </c>
      <c r="R113" t="s">
        <v>613</v>
      </c>
    </row>
    <row r="114" spans="1:18" x14ac:dyDescent="0.35">
      <c r="A114" t="s">
        <v>119</v>
      </c>
      <c r="B114" s="1">
        <v>45682</v>
      </c>
      <c r="C114" t="s">
        <v>319</v>
      </c>
      <c r="D114" t="s">
        <v>519</v>
      </c>
      <c r="E114">
        <v>22</v>
      </c>
      <c r="F114" s="6">
        <v>25000</v>
      </c>
      <c r="G114" s="6">
        <f t="shared" si="8"/>
        <v>550000</v>
      </c>
      <c r="H114" s="2">
        <v>0.25</v>
      </c>
      <c r="I114" s="6">
        <f t="shared" si="9"/>
        <v>137500</v>
      </c>
      <c r="J114" s="6">
        <f t="shared" si="13"/>
        <v>220000</v>
      </c>
      <c r="K114" s="6">
        <f t="shared" si="10"/>
        <v>632500</v>
      </c>
      <c r="L114" s="6">
        <f t="shared" si="11"/>
        <v>82500</v>
      </c>
      <c r="M114" s="6" t="str" cm="1">
        <f t="array" ref="M114">_xlfn.XLOOKUP(Orders!C114,Customers!A115:A314,Customers!G115:'Customers'!G314,"Not Found")</f>
        <v>Rahul Arora</v>
      </c>
      <c r="N114" s="4" t="str">
        <f t="shared" si="12"/>
        <v>Wholesale</v>
      </c>
      <c r="O114" t="s">
        <v>1013</v>
      </c>
      <c r="P114" t="s">
        <v>1062</v>
      </c>
      <c r="Q114" t="s">
        <v>614</v>
      </c>
      <c r="R114" t="s">
        <v>613</v>
      </c>
    </row>
    <row r="115" spans="1:18" x14ac:dyDescent="0.35">
      <c r="A115" t="s">
        <v>120</v>
      </c>
      <c r="B115" s="1">
        <v>45682</v>
      </c>
      <c r="C115" t="s">
        <v>320</v>
      </c>
      <c r="D115" t="s">
        <v>520</v>
      </c>
      <c r="E115">
        <v>13</v>
      </c>
      <c r="F115" s="6">
        <v>14000</v>
      </c>
      <c r="G115" s="6">
        <f t="shared" si="8"/>
        <v>182000</v>
      </c>
      <c r="H115" s="2">
        <v>0.1</v>
      </c>
      <c r="I115" s="6">
        <f t="shared" si="9"/>
        <v>18200</v>
      </c>
      <c r="J115" s="6">
        <f t="shared" si="13"/>
        <v>72800</v>
      </c>
      <c r="K115" s="6">
        <f t="shared" si="10"/>
        <v>236600</v>
      </c>
      <c r="L115" s="6">
        <f t="shared" si="11"/>
        <v>54600</v>
      </c>
      <c r="M115" s="6" t="str" cm="1">
        <f t="array" ref="M115">_xlfn.XLOOKUP(Orders!C115,Customers!A116:A315,Customers!G116:'Customers'!G315,"Not Found")</f>
        <v>Sneha Desai</v>
      </c>
      <c r="N115" s="4" t="str">
        <f t="shared" si="12"/>
        <v>Wholesale</v>
      </c>
      <c r="O115" t="s">
        <v>1034</v>
      </c>
      <c r="P115" t="s">
        <v>1074</v>
      </c>
      <c r="Q115" t="s">
        <v>614</v>
      </c>
      <c r="R115" t="s">
        <v>613</v>
      </c>
    </row>
    <row r="116" spans="1:18" x14ac:dyDescent="0.35">
      <c r="A116" t="s">
        <v>121</v>
      </c>
      <c r="B116" s="1">
        <v>45682</v>
      </c>
      <c r="C116" t="s">
        <v>321</v>
      </c>
      <c r="D116" t="s">
        <v>521</v>
      </c>
      <c r="E116">
        <v>15</v>
      </c>
      <c r="F116" s="6">
        <v>7500</v>
      </c>
      <c r="G116" s="6">
        <f t="shared" si="8"/>
        <v>112500</v>
      </c>
      <c r="H116" s="2">
        <v>0.05</v>
      </c>
      <c r="I116" s="6">
        <f t="shared" si="9"/>
        <v>5625</v>
      </c>
      <c r="J116" s="6">
        <f t="shared" si="13"/>
        <v>45000</v>
      </c>
      <c r="K116" s="6">
        <f t="shared" si="10"/>
        <v>151875</v>
      </c>
      <c r="L116" s="6">
        <f t="shared" si="11"/>
        <v>39375</v>
      </c>
      <c r="M116" s="6" t="str" cm="1">
        <f t="array" ref="M116">_xlfn.XLOOKUP(Orders!C116,Customers!A117:A316,Customers!G117:'Customers'!G316,"Not Found")</f>
        <v>Vihaan Thakur</v>
      </c>
      <c r="N116" s="4" t="str">
        <f t="shared" si="12"/>
        <v>Wholesale</v>
      </c>
      <c r="O116" t="s">
        <v>1034</v>
      </c>
      <c r="P116" t="s">
        <v>1060</v>
      </c>
      <c r="Q116" t="s">
        <v>616</v>
      </c>
      <c r="R116" t="s">
        <v>613</v>
      </c>
    </row>
    <row r="117" spans="1:18" x14ac:dyDescent="0.35">
      <c r="A117" t="s">
        <v>122</v>
      </c>
      <c r="B117" s="1">
        <v>45682</v>
      </c>
      <c r="C117" t="s">
        <v>322</v>
      </c>
      <c r="D117" t="s">
        <v>522</v>
      </c>
      <c r="E117">
        <v>15</v>
      </c>
      <c r="F117" s="6">
        <v>4500</v>
      </c>
      <c r="G117" s="6">
        <f t="shared" si="8"/>
        <v>67500</v>
      </c>
      <c r="H117" s="2">
        <v>0.1</v>
      </c>
      <c r="I117" s="6">
        <f t="shared" si="9"/>
        <v>6750</v>
      </c>
      <c r="J117" s="6">
        <f t="shared" si="13"/>
        <v>27000</v>
      </c>
      <c r="K117" s="6">
        <f t="shared" si="10"/>
        <v>87750</v>
      </c>
      <c r="L117" s="6">
        <f t="shared" si="11"/>
        <v>20250</v>
      </c>
      <c r="M117" s="6" t="str" cm="1">
        <f t="array" ref="M117">_xlfn.XLOOKUP(Orders!C117,Customers!A118:A317,Customers!G118:'Customers'!G317,"Not Found")</f>
        <v>Diya Kohli</v>
      </c>
      <c r="N117" s="4" t="str">
        <f t="shared" si="12"/>
        <v>Large</v>
      </c>
      <c r="O117" t="s">
        <v>1034</v>
      </c>
      <c r="P117" t="s">
        <v>1066</v>
      </c>
      <c r="Q117" t="s">
        <v>615</v>
      </c>
      <c r="R117" t="s">
        <v>613</v>
      </c>
    </row>
    <row r="118" spans="1:18" x14ac:dyDescent="0.35">
      <c r="A118" t="s">
        <v>123</v>
      </c>
      <c r="B118" s="1">
        <v>45682</v>
      </c>
      <c r="C118" t="s">
        <v>323</v>
      </c>
      <c r="D118" t="s">
        <v>523</v>
      </c>
      <c r="E118">
        <v>16</v>
      </c>
      <c r="F118" s="6">
        <v>1450</v>
      </c>
      <c r="G118" s="6">
        <f t="shared" si="8"/>
        <v>23200</v>
      </c>
      <c r="H118" s="2">
        <v>0.05</v>
      </c>
      <c r="I118" s="6">
        <f t="shared" si="9"/>
        <v>1160</v>
      </c>
      <c r="J118" s="6">
        <f t="shared" si="13"/>
        <v>9280</v>
      </c>
      <c r="K118" s="6">
        <f t="shared" si="10"/>
        <v>31320</v>
      </c>
      <c r="L118" s="6">
        <f t="shared" si="11"/>
        <v>8120</v>
      </c>
      <c r="M118" s="6" t="str" cm="1">
        <f t="array" ref="M118">_xlfn.XLOOKUP(Orders!C118,Customers!A119:A318,Customers!G119:'Customers'!G318,"Not Found")</f>
        <v>Karan Mehta</v>
      </c>
      <c r="N118" s="4" t="str">
        <f t="shared" si="12"/>
        <v>Large</v>
      </c>
      <c r="O118" t="s">
        <v>1034</v>
      </c>
      <c r="P118" t="s">
        <v>1083</v>
      </c>
      <c r="Q118" t="s">
        <v>611</v>
      </c>
      <c r="R118" t="s">
        <v>613</v>
      </c>
    </row>
    <row r="119" spans="1:18" x14ac:dyDescent="0.35">
      <c r="A119" t="s">
        <v>124</v>
      </c>
      <c r="B119" s="1">
        <v>45682</v>
      </c>
      <c r="C119" t="s">
        <v>324</v>
      </c>
      <c r="D119" t="s">
        <v>524</v>
      </c>
      <c r="E119">
        <v>2</v>
      </c>
      <c r="F119" s="6">
        <v>12500</v>
      </c>
      <c r="G119" s="6">
        <f t="shared" si="8"/>
        <v>25000</v>
      </c>
      <c r="H119" s="2">
        <v>0.15</v>
      </c>
      <c r="I119" s="6">
        <f t="shared" si="9"/>
        <v>3750</v>
      </c>
      <c r="J119" s="6">
        <f t="shared" si="13"/>
        <v>10000</v>
      </c>
      <c r="K119" s="6">
        <f t="shared" si="10"/>
        <v>31250</v>
      </c>
      <c r="L119" s="6">
        <f t="shared" si="11"/>
        <v>6250</v>
      </c>
      <c r="M119" s="6" t="str" cm="1">
        <f t="array" ref="M119">_xlfn.XLOOKUP(Orders!C119,Customers!A120:A319,Customers!G120:'Customers'!G319,"Not Found")</f>
        <v>Neha Patel</v>
      </c>
      <c r="N119" s="4" t="str">
        <f t="shared" si="12"/>
        <v>Large</v>
      </c>
      <c r="O119" t="s">
        <v>1013</v>
      </c>
      <c r="P119" t="s">
        <v>1083</v>
      </c>
      <c r="Q119" t="s">
        <v>609</v>
      </c>
      <c r="R119" t="s">
        <v>613</v>
      </c>
    </row>
    <row r="120" spans="1:18" x14ac:dyDescent="0.35">
      <c r="A120" t="s">
        <v>125</v>
      </c>
      <c r="B120" s="1">
        <v>45682</v>
      </c>
      <c r="C120" t="s">
        <v>325</v>
      </c>
      <c r="D120" t="s">
        <v>525</v>
      </c>
      <c r="E120">
        <v>3</v>
      </c>
      <c r="F120" s="6">
        <v>3500</v>
      </c>
      <c r="G120" s="6">
        <f t="shared" si="8"/>
        <v>10500</v>
      </c>
      <c r="H120" s="2">
        <v>0</v>
      </c>
      <c r="I120" s="6">
        <f t="shared" si="9"/>
        <v>0</v>
      </c>
      <c r="J120" s="6">
        <f t="shared" si="13"/>
        <v>4200</v>
      </c>
      <c r="K120" s="6">
        <f t="shared" si="10"/>
        <v>14700</v>
      </c>
      <c r="L120" s="6">
        <f t="shared" si="11"/>
        <v>4200</v>
      </c>
      <c r="M120" s="6" t="str" cm="1">
        <f t="array" ref="M120">_xlfn.XLOOKUP(Orders!C120,Customers!A121:A320,Customers!G121:'Customers'!G320,"Not Found")</f>
        <v>Aryan Khan</v>
      </c>
      <c r="N120" s="4" t="str">
        <f t="shared" si="12"/>
        <v>Medium</v>
      </c>
      <c r="O120" t="s">
        <v>1013</v>
      </c>
      <c r="P120" t="s">
        <v>1073</v>
      </c>
      <c r="Q120" t="s">
        <v>609</v>
      </c>
      <c r="R120" t="s">
        <v>613</v>
      </c>
    </row>
    <row r="121" spans="1:18" x14ac:dyDescent="0.35">
      <c r="A121" t="s">
        <v>126</v>
      </c>
      <c r="B121" s="1">
        <v>45682</v>
      </c>
      <c r="C121" t="s">
        <v>326</v>
      </c>
      <c r="D121" t="s">
        <v>526</v>
      </c>
      <c r="E121">
        <v>4</v>
      </c>
      <c r="F121" s="6">
        <v>124500</v>
      </c>
      <c r="G121" s="6">
        <f t="shared" si="8"/>
        <v>498000</v>
      </c>
      <c r="H121" s="2">
        <v>0.15</v>
      </c>
      <c r="I121" s="6">
        <f t="shared" si="9"/>
        <v>74700</v>
      </c>
      <c r="J121" s="6">
        <f t="shared" si="13"/>
        <v>199200</v>
      </c>
      <c r="K121" s="6">
        <f t="shared" si="10"/>
        <v>622500</v>
      </c>
      <c r="L121" s="6">
        <f t="shared" si="11"/>
        <v>124500</v>
      </c>
      <c r="M121" s="6" t="str" cm="1">
        <f t="array" ref="M121">_xlfn.XLOOKUP(Orders!C121,Customers!A122:A321,Customers!G122:'Customers'!G321,"Not Found")</f>
        <v>Kavya Khanna</v>
      </c>
      <c r="N121" s="4" t="str">
        <f t="shared" si="12"/>
        <v>Wholesale</v>
      </c>
      <c r="O121" t="s">
        <v>1013</v>
      </c>
      <c r="P121" t="s">
        <v>1066</v>
      </c>
      <c r="Q121" t="s">
        <v>609</v>
      </c>
      <c r="R121" t="s">
        <v>610</v>
      </c>
    </row>
    <row r="122" spans="1:18" x14ac:dyDescent="0.35">
      <c r="A122" t="s">
        <v>127</v>
      </c>
      <c r="B122" s="1">
        <v>45682</v>
      </c>
      <c r="C122" t="s">
        <v>327</v>
      </c>
      <c r="D122" t="s">
        <v>527</v>
      </c>
      <c r="E122">
        <v>5</v>
      </c>
      <c r="F122" s="6">
        <v>15200</v>
      </c>
      <c r="G122" s="6">
        <f t="shared" si="8"/>
        <v>76000</v>
      </c>
      <c r="H122" s="2">
        <v>0.05</v>
      </c>
      <c r="I122" s="6">
        <f t="shared" si="9"/>
        <v>3800</v>
      </c>
      <c r="J122" s="6">
        <f t="shared" si="13"/>
        <v>30400</v>
      </c>
      <c r="K122" s="6">
        <f t="shared" si="10"/>
        <v>102600</v>
      </c>
      <c r="L122" s="6">
        <f t="shared" si="11"/>
        <v>26600</v>
      </c>
      <c r="M122" s="6" t="str" cm="1">
        <f t="array" ref="M122">_xlfn.XLOOKUP(Orders!C122,Customers!A123:A322,Customers!G123:'Customers'!G322,"Not Found")</f>
        <v>Yash Kulkarni</v>
      </c>
      <c r="N122" s="4" t="str">
        <f t="shared" si="12"/>
        <v>Industrial</v>
      </c>
      <c r="O122" t="s">
        <v>1013</v>
      </c>
      <c r="P122" t="s">
        <v>1077</v>
      </c>
      <c r="Q122" t="s">
        <v>611</v>
      </c>
      <c r="R122" t="s">
        <v>610</v>
      </c>
    </row>
    <row r="123" spans="1:18" x14ac:dyDescent="0.35">
      <c r="A123" t="s">
        <v>128</v>
      </c>
      <c r="B123" s="1">
        <v>45682</v>
      </c>
      <c r="C123" t="s">
        <v>328</v>
      </c>
      <c r="D123" t="s">
        <v>528</v>
      </c>
      <c r="E123">
        <v>6</v>
      </c>
      <c r="F123" s="6">
        <v>23565</v>
      </c>
      <c r="G123" s="6">
        <f t="shared" si="8"/>
        <v>141390</v>
      </c>
      <c r="H123" s="2">
        <v>0.15</v>
      </c>
      <c r="I123" s="6">
        <f t="shared" si="9"/>
        <v>21208.5</v>
      </c>
      <c r="J123" s="6">
        <f t="shared" si="13"/>
        <v>56556</v>
      </c>
      <c r="K123" s="6">
        <f t="shared" si="10"/>
        <v>176737.5</v>
      </c>
      <c r="L123" s="6">
        <f t="shared" si="11"/>
        <v>35347.5</v>
      </c>
      <c r="M123" s="6" t="str" cm="1">
        <f t="array" ref="M123">_xlfn.XLOOKUP(Orders!C123,Customers!A124:A323,Customers!G124:'Customers'!G323,"Not Found")</f>
        <v>Riya Yadav</v>
      </c>
      <c r="N123" s="4" t="str">
        <f t="shared" si="12"/>
        <v>Wholesale</v>
      </c>
      <c r="O123" t="s">
        <v>1013</v>
      </c>
      <c r="P123" t="s">
        <v>1065</v>
      </c>
      <c r="Q123" t="s">
        <v>609</v>
      </c>
      <c r="R123" t="s">
        <v>610</v>
      </c>
    </row>
    <row r="124" spans="1:18" x14ac:dyDescent="0.35">
      <c r="A124" t="s">
        <v>129</v>
      </c>
      <c r="B124" s="1">
        <v>45683</v>
      </c>
      <c r="C124" t="s">
        <v>329</v>
      </c>
      <c r="D124" t="s">
        <v>529</v>
      </c>
      <c r="E124">
        <v>7</v>
      </c>
      <c r="F124" s="6">
        <v>70000</v>
      </c>
      <c r="G124" s="6">
        <f t="shared" si="8"/>
        <v>490000</v>
      </c>
      <c r="H124" s="2">
        <v>0.25</v>
      </c>
      <c r="I124" s="6">
        <f t="shared" si="9"/>
        <v>122500</v>
      </c>
      <c r="J124" s="6">
        <f t="shared" si="13"/>
        <v>196000</v>
      </c>
      <c r="K124" s="6">
        <f t="shared" si="10"/>
        <v>563500</v>
      </c>
      <c r="L124" s="6">
        <f t="shared" si="11"/>
        <v>73500</v>
      </c>
      <c r="M124" s="6" t="str" cm="1">
        <f t="array" ref="M124">_xlfn.XLOOKUP(Orders!C124,Customers!A125:A324,Customers!G125:'Customers'!G324,"Not Found")</f>
        <v>Dev Mathur</v>
      </c>
      <c r="N124" s="4" t="str">
        <f t="shared" si="12"/>
        <v>Wholesale</v>
      </c>
      <c r="O124" t="s">
        <v>1013</v>
      </c>
      <c r="P124" t="s">
        <v>1064</v>
      </c>
      <c r="Q124" t="s">
        <v>609</v>
      </c>
      <c r="R124" t="s">
        <v>610</v>
      </c>
    </row>
    <row r="125" spans="1:18" x14ac:dyDescent="0.35">
      <c r="A125" t="s">
        <v>130</v>
      </c>
      <c r="B125" s="1">
        <v>45683</v>
      </c>
      <c r="C125" t="s">
        <v>330</v>
      </c>
      <c r="D125" t="s">
        <v>530</v>
      </c>
      <c r="E125">
        <v>8</v>
      </c>
      <c r="F125" s="6">
        <v>8000</v>
      </c>
      <c r="G125" s="6">
        <f t="shared" si="8"/>
        <v>64000</v>
      </c>
      <c r="H125" s="2">
        <v>0.15</v>
      </c>
      <c r="I125" s="6">
        <f t="shared" si="9"/>
        <v>9600</v>
      </c>
      <c r="J125" s="6">
        <f t="shared" si="13"/>
        <v>25600</v>
      </c>
      <c r="K125" s="6">
        <f t="shared" si="10"/>
        <v>80000</v>
      </c>
      <c r="L125" s="6">
        <f t="shared" si="11"/>
        <v>16000</v>
      </c>
      <c r="M125" s="6" t="str" cm="1">
        <f t="array" ref="M125">_xlfn.XLOOKUP(Orders!C125,Customers!A126:A325,Customers!G126:'Customers'!G325,"Not Found")</f>
        <v>Nisha Gupta</v>
      </c>
      <c r="N125" s="4" t="str">
        <f t="shared" si="12"/>
        <v>Large</v>
      </c>
      <c r="O125" t="s">
        <v>1033</v>
      </c>
      <c r="P125" t="s">
        <v>1084</v>
      </c>
      <c r="Q125" t="s">
        <v>609</v>
      </c>
      <c r="R125" t="s">
        <v>610</v>
      </c>
    </row>
    <row r="126" spans="1:18" x14ac:dyDescent="0.35">
      <c r="A126" t="s">
        <v>131</v>
      </c>
      <c r="B126" s="1">
        <v>45683</v>
      </c>
      <c r="C126" t="s">
        <v>331</v>
      </c>
      <c r="D126" t="s">
        <v>531</v>
      </c>
      <c r="E126">
        <v>9</v>
      </c>
      <c r="F126" s="6">
        <v>11000</v>
      </c>
      <c r="G126" s="6">
        <f t="shared" si="8"/>
        <v>99000</v>
      </c>
      <c r="H126" s="2">
        <v>0.25</v>
      </c>
      <c r="I126" s="6">
        <f t="shared" si="9"/>
        <v>24750</v>
      </c>
      <c r="J126" s="6">
        <f t="shared" si="13"/>
        <v>39600</v>
      </c>
      <c r="K126" s="6">
        <f t="shared" si="10"/>
        <v>113850</v>
      </c>
      <c r="L126" s="6">
        <f t="shared" si="11"/>
        <v>14850</v>
      </c>
      <c r="M126" s="6" t="str" cm="1">
        <f t="array" ref="M126">_xlfn.XLOOKUP(Orders!C126,Customers!A127:A326,Customers!G127:'Customers'!G326,"Not Found")</f>
        <v>Siddharth Iyer</v>
      </c>
      <c r="N126" s="4" t="str">
        <f t="shared" si="12"/>
        <v>Industrial</v>
      </c>
      <c r="O126" t="s">
        <v>1033</v>
      </c>
      <c r="P126" t="s">
        <v>1085</v>
      </c>
      <c r="Q126" t="s">
        <v>609</v>
      </c>
      <c r="R126" t="s">
        <v>610</v>
      </c>
    </row>
    <row r="127" spans="1:18" x14ac:dyDescent="0.35">
      <c r="A127" t="s">
        <v>132</v>
      </c>
      <c r="B127" s="1">
        <v>45683</v>
      </c>
      <c r="C127" t="s">
        <v>332</v>
      </c>
      <c r="D127" t="s">
        <v>532</v>
      </c>
      <c r="E127">
        <v>8</v>
      </c>
      <c r="F127" s="6">
        <v>14000</v>
      </c>
      <c r="G127" s="6">
        <f t="shared" si="8"/>
        <v>112000</v>
      </c>
      <c r="H127" s="2">
        <v>0.15</v>
      </c>
      <c r="I127" s="6">
        <f t="shared" si="9"/>
        <v>16800</v>
      </c>
      <c r="J127" s="6">
        <f t="shared" si="13"/>
        <v>44800</v>
      </c>
      <c r="K127" s="6">
        <f t="shared" si="10"/>
        <v>140000</v>
      </c>
      <c r="L127" s="6">
        <f t="shared" si="11"/>
        <v>28000</v>
      </c>
      <c r="M127" s="6" t="str" cm="1">
        <f t="array" ref="M127">_xlfn.XLOOKUP(Orders!C127,Customers!A128:A327,Customers!G128:'Customers'!G327,"Not Found")</f>
        <v>Pooja Mishra</v>
      </c>
      <c r="N127" s="4" t="str">
        <f t="shared" si="12"/>
        <v>Wholesale</v>
      </c>
      <c r="O127" t="s">
        <v>1033</v>
      </c>
      <c r="P127" t="s">
        <v>1086</v>
      </c>
      <c r="Q127" t="s">
        <v>609</v>
      </c>
      <c r="R127" t="s">
        <v>610</v>
      </c>
    </row>
    <row r="128" spans="1:18" x14ac:dyDescent="0.35">
      <c r="A128" t="s">
        <v>133</v>
      </c>
      <c r="B128" s="1">
        <v>45683</v>
      </c>
      <c r="C128" t="s">
        <v>333</v>
      </c>
      <c r="D128" t="s">
        <v>533</v>
      </c>
      <c r="E128">
        <v>9</v>
      </c>
      <c r="F128" s="6">
        <v>17000</v>
      </c>
      <c r="G128" s="6">
        <f t="shared" si="8"/>
        <v>153000</v>
      </c>
      <c r="H128" s="2">
        <v>0.25</v>
      </c>
      <c r="I128" s="6">
        <f t="shared" si="9"/>
        <v>38250</v>
      </c>
      <c r="J128" s="6">
        <f t="shared" si="13"/>
        <v>61200</v>
      </c>
      <c r="K128" s="6">
        <f t="shared" si="10"/>
        <v>175950</v>
      </c>
      <c r="L128" s="6">
        <f t="shared" si="11"/>
        <v>22950</v>
      </c>
      <c r="M128" s="6" t="str" cm="1">
        <f t="array" ref="M128">_xlfn.XLOOKUP(Orders!C128,Customers!A129:A328,Customers!G129:'Customers'!G328,"Not Found")</f>
        <v>Varun Pandey</v>
      </c>
      <c r="N128" s="4" t="str">
        <f t="shared" si="12"/>
        <v>Wholesale</v>
      </c>
      <c r="O128" t="s">
        <v>1033</v>
      </c>
      <c r="P128" t="s">
        <v>1086</v>
      </c>
      <c r="Q128" t="s">
        <v>615</v>
      </c>
      <c r="R128" t="s">
        <v>610</v>
      </c>
    </row>
    <row r="129" spans="1:18" x14ac:dyDescent="0.35">
      <c r="A129" t="s">
        <v>134</v>
      </c>
      <c r="B129" s="1">
        <v>45683</v>
      </c>
      <c r="C129" t="s">
        <v>334</v>
      </c>
      <c r="D129" t="s">
        <v>534</v>
      </c>
      <c r="E129">
        <v>8</v>
      </c>
      <c r="F129" s="6">
        <v>20000</v>
      </c>
      <c r="G129" s="6">
        <f t="shared" si="8"/>
        <v>160000</v>
      </c>
      <c r="H129" s="2">
        <v>0.15</v>
      </c>
      <c r="I129" s="6">
        <f t="shared" si="9"/>
        <v>24000</v>
      </c>
      <c r="J129" s="6">
        <f t="shared" si="13"/>
        <v>64000</v>
      </c>
      <c r="K129" s="6">
        <f t="shared" si="10"/>
        <v>200000</v>
      </c>
      <c r="L129" s="6">
        <f t="shared" si="11"/>
        <v>40000</v>
      </c>
      <c r="M129" s="6" t="str" cm="1">
        <f t="array" ref="M129">_xlfn.XLOOKUP(Orders!C129,Customers!A130:A329,Customers!G130:'Customers'!G329,"Not Found")</f>
        <v>Simran Srivastava</v>
      </c>
      <c r="N129" s="4" t="str">
        <f t="shared" si="12"/>
        <v>Wholesale</v>
      </c>
      <c r="O129" t="s">
        <v>1035</v>
      </c>
      <c r="P129" t="s">
        <v>1074</v>
      </c>
      <c r="Q129" t="s">
        <v>615</v>
      </c>
      <c r="R129" t="s">
        <v>610</v>
      </c>
    </row>
    <row r="130" spans="1:18" x14ac:dyDescent="0.35">
      <c r="A130" t="s">
        <v>135</v>
      </c>
      <c r="B130" s="1">
        <v>45683</v>
      </c>
      <c r="C130" t="s">
        <v>335</v>
      </c>
      <c r="D130" t="s">
        <v>535</v>
      </c>
      <c r="E130">
        <v>9</v>
      </c>
      <c r="F130" s="6">
        <v>23000</v>
      </c>
      <c r="G130" s="6">
        <f t="shared" si="8"/>
        <v>207000</v>
      </c>
      <c r="H130" s="2">
        <v>0.25</v>
      </c>
      <c r="I130" s="6">
        <f t="shared" si="9"/>
        <v>51750</v>
      </c>
      <c r="J130" s="6">
        <f t="shared" si="13"/>
        <v>82800</v>
      </c>
      <c r="K130" s="6">
        <f t="shared" si="10"/>
        <v>238050</v>
      </c>
      <c r="L130" s="6">
        <f t="shared" si="11"/>
        <v>31050</v>
      </c>
      <c r="M130" s="6" t="str" cm="1">
        <f t="array" ref="M130">_xlfn.XLOOKUP(Orders!C130,Customers!A131:A330,Customers!G131:'Customers'!G330,"Not Found")</f>
        <v>Aniket Dutta</v>
      </c>
      <c r="N130" s="4" t="str">
        <f t="shared" si="12"/>
        <v>Wholesale</v>
      </c>
      <c r="O130" t="s">
        <v>1033</v>
      </c>
      <c r="P130" t="s">
        <v>1070</v>
      </c>
      <c r="Q130" t="s">
        <v>615</v>
      </c>
      <c r="R130" t="s">
        <v>610</v>
      </c>
    </row>
    <row r="131" spans="1:18" x14ac:dyDescent="0.35">
      <c r="A131" t="s">
        <v>136</v>
      </c>
      <c r="B131" s="1">
        <v>45683</v>
      </c>
      <c r="C131" t="s">
        <v>336</v>
      </c>
      <c r="D131" t="s">
        <v>536</v>
      </c>
      <c r="E131">
        <v>8</v>
      </c>
      <c r="F131" s="6">
        <v>26000</v>
      </c>
      <c r="G131" s="6">
        <f t="shared" si="8"/>
        <v>208000</v>
      </c>
      <c r="H131" s="2">
        <v>0.15</v>
      </c>
      <c r="I131" s="6">
        <f t="shared" si="9"/>
        <v>31200</v>
      </c>
      <c r="J131" s="6">
        <f t="shared" si="13"/>
        <v>83200</v>
      </c>
      <c r="K131" s="6">
        <f t="shared" si="10"/>
        <v>260000</v>
      </c>
      <c r="L131" s="6">
        <f t="shared" si="11"/>
        <v>52000</v>
      </c>
      <c r="M131" s="6" t="str" cm="1">
        <f t="array" ref="M131">_xlfn.XLOOKUP(Orders!C131,Customers!A132:A331,Customers!G132:'Customers'!G331,"Not Found")</f>
        <v>Tanvi Sood</v>
      </c>
      <c r="N131" s="4" t="str">
        <f t="shared" si="12"/>
        <v>Wholesale</v>
      </c>
      <c r="O131" t="s">
        <v>1033</v>
      </c>
      <c r="P131" t="s">
        <v>1055</v>
      </c>
      <c r="Q131" t="s">
        <v>615</v>
      </c>
      <c r="R131" t="s">
        <v>610</v>
      </c>
    </row>
    <row r="132" spans="1:18" x14ac:dyDescent="0.35">
      <c r="A132" t="s">
        <v>137</v>
      </c>
      <c r="B132" s="1">
        <v>45683</v>
      </c>
      <c r="C132" t="s">
        <v>337</v>
      </c>
      <c r="D132" t="s">
        <v>537</v>
      </c>
      <c r="E132">
        <v>9</v>
      </c>
      <c r="F132" s="6">
        <v>29000</v>
      </c>
      <c r="G132" s="6">
        <f t="shared" si="8"/>
        <v>261000</v>
      </c>
      <c r="H132" s="2">
        <v>0.25</v>
      </c>
      <c r="I132" s="6">
        <f t="shared" si="9"/>
        <v>65250</v>
      </c>
      <c r="J132" s="6">
        <f t="shared" ref="J132:J163" si="14">G132*0.4</f>
        <v>104400</v>
      </c>
      <c r="K132" s="6">
        <f t="shared" si="10"/>
        <v>300150</v>
      </c>
      <c r="L132" s="6">
        <f t="shared" si="11"/>
        <v>39150</v>
      </c>
      <c r="M132" s="6" t="str" cm="1">
        <f t="array" ref="M132">_xlfn.XLOOKUP(Orders!C132,Customers!A133:A332,Customers!G133:'Customers'!G332,"Not Found")</f>
        <v>Manav Verma</v>
      </c>
      <c r="N132" s="4" t="str">
        <f t="shared" si="12"/>
        <v>Wholesale</v>
      </c>
      <c r="O132" t="s">
        <v>1033</v>
      </c>
      <c r="P132" t="s">
        <v>1055</v>
      </c>
      <c r="Q132" t="s">
        <v>615</v>
      </c>
      <c r="R132" t="s">
        <v>610</v>
      </c>
    </row>
    <row r="133" spans="1:18" x14ac:dyDescent="0.35">
      <c r="A133" t="s">
        <v>138</v>
      </c>
      <c r="B133" s="1">
        <v>45683</v>
      </c>
      <c r="C133" t="s">
        <v>338</v>
      </c>
      <c r="D133" t="s">
        <v>538</v>
      </c>
      <c r="E133">
        <v>9</v>
      </c>
      <c r="F133" s="6">
        <v>32000</v>
      </c>
      <c r="G133" s="6">
        <f t="shared" ref="G133:G196" si="15">E133*F133</f>
        <v>288000</v>
      </c>
      <c r="H133" s="2">
        <v>0.15</v>
      </c>
      <c r="I133" s="6">
        <f t="shared" ref="I133:I196" si="16">G133*H133</f>
        <v>43200</v>
      </c>
      <c r="J133" s="6">
        <f t="shared" si="14"/>
        <v>115200</v>
      </c>
      <c r="K133" s="6">
        <f t="shared" ref="K133:K196" si="17">G133+J133-I133</f>
        <v>360000</v>
      </c>
      <c r="L133" s="6">
        <f t="shared" ref="L133:L196" si="18">K133-G133</f>
        <v>72000</v>
      </c>
      <c r="M133" s="6" t="str" cm="1">
        <f t="array" ref="M133">_xlfn.XLOOKUP(Orders!C133,Customers!A134:A333,Customers!G134:'Customers'!G333,"Not Found")</f>
        <v>Shreya Agarwal</v>
      </c>
      <c r="N133" s="4" t="str">
        <f t="shared" ref="N133:N196" si="19">IF(K133&lt;5000,"Micro",IF(K133&lt;10000,"Small",IF(K133&lt;=30000,"Medium",IF(K133&lt;=100000,"Large",IF(K133&lt;=125000,"Industrial","Wholesale")))))</f>
        <v>Wholesale</v>
      </c>
      <c r="O133" t="s">
        <v>1013</v>
      </c>
      <c r="P133" t="s">
        <v>1066</v>
      </c>
      <c r="Q133" t="s">
        <v>615</v>
      </c>
      <c r="R133" t="s">
        <v>613</v>
      </c>
    </row>
    <row r="134" spans="1:18" x14ac:dyDescent="0.35">
      <c r="A134" t="s">
        <v>139</v>
      </c>
      <c r="B134" s="1">
        <v>45683</v>
      </c>
      <c r="C134" t="s">
        <v>339</v>
      </c>
      <c r="D134" t="s">
        <v>539</v>
      </c>
      <c r="E134">
        <v>9</v>
      </c>
      <c r="F134" s="6">
        <v>35000</v>
      </c>
      <c r="G134" s="6">
        <f t="shared" si="15"/>
        <v>315000</v>
      </c>
      <c r="H134" s="2">
        <v>0.02</v>
      </c>
      <c r="I134" s="6">
        <f t="shared" si="16"/>
        <v>6300</v>
      </c>
      <c r="J134" s="6">
        <f t="shared" si="14"/>
        <v>126000</v>
      </c>
      <c r="K134" s="6">
        <f t="shared" si="17"/>
        <v>434700</v>
      </c>
      <c r="L134" s="6">
        <f t="shared" si="18"/>
        <v>119700</v>
      </c>
      <c r="M134" s="6" t="str" cm="1">
        <f t="array" ref="M134">_xlfn.XLOOKUP(Orders!C134,Customers!A135:A334,Customers!G135:'Customers'!G334,"Not Found")</f>
        <v>Vivaan Saxena</v>
      </c>
      <c r="N134" s="4" t="str">
        <f t="shared" si="19"/>
        <v>Wholesale</v>
      </c>
      <c r="O134" t="s">
        <v>1142</v>
      </c>
      <c r="P134" t="s">
        <v>1066</v>
      </c>
      <c r="Q134" t="s">
        <v>615</v>
      </c>
      <c r="R134" t="s">
        <v>613</v>
      </c>
    </row>
    <row r="135" spans="1:18" x14ac:dyDescent="0.35">
      <c r="A135" t="s">
        <v>140</v>
      </c>
      <c r="B135" s="1">
        <v>45683</v>
      </c>
      <c r="C135" t="s">
        <v>340</v>
      </c>
      <c r="D135" t="s">
        <v>540</v>
      </c>
      <c r="E135">
        <v>8</v>
      </c>
      <c r="F135" s="6">
        <v>38000</v>
      </c>
      <c r="G135" s="6">
        <f t="shared" si="15"/>
        <v>304000</v>
      </c>
      <c r="H135" s="2">
        <v>0.02</v>
      </c>
      <c r="I135" s="6">
        <f t="shared" si="16"/>
        <v>6080</v>
      </c>
      <c r="J135" s="6">
        <f t="shared" si="14"/>
        <v>121600</v>
      </c>
      <c r="K135" s="6">
        <f t="shared" si="17"/>
        <v>419520</v>
      </c>
      <c r="L135" s="6">
        <f t="shared" si="18"/>
        <v>115520</v>
      </c>
      <c r="M135" s="6" t="str" cm="1">
        <f t="array" ref="M135">_xlfn.XLOOKUP(Orders!C135,Customers!A136:A335,Customers!G136:'Customers'!G335,"Not Found")</f>
        <v>Avni Tiwari</v>
      </c>
      <c r="N135" s="4" t="str">
        <f t="shared" si="19"/>
        <v>Wholesale</v>
      </c>
      <c r="O135" t="s">
        <v>1018</v>
      </c>
      <c r="P135" t="s">
        <v>1066</v>
      </c>
      <c r="Q135" t="s">
        <v>615</v>
      </c>
      <c r="R135" t="s">
        <v>613</v>
      </c>
    </row>
    <row r="136" spans="1:18" x14ac:dyDescent="0.35">
      <c r="A136" t="s">
        <v>141</v>
      </c>
      <c r="B136" s="1">
        <v>45683</v>
      </c>
      <c r="C136" t="s">
        <v>341</v>
      </c>
      <c r="D136" t="s">
        <v>541</v>
      </c>
      <c r="E136">
        <v>7</v>
      </c>
      <c r="F136" s="6">
        <v>41000</v>
      </c>
      <c r="G136" s="6">
        <f t="shared" si="15"/>
        <v>287000</v>
      </c>
      <c r="H136" s="2">
        <v>0.2</v>
      </c>
      <c r="I136" s="6">
        <f t="shared" si="16"/>
        <v>57400</v>
      </c>
      <c r="J136" s="6">
        <f t="shared" si="14"/>
        <v>114800</v>
      </c>
      <c r="K136" s="6">
        <f t="shared" si="17"/>
        <v>344400</v>
      </c>
      <c r="L136" s="6">
        <f t="shared" si="18"/>
        <v>57400</v>
      </c>
      <c r="M136" s="6" t="str" cm="1">
        <f t="array" ref="M136">_xlfn.XLOOKUP(Orders!C136,Customers!A137:A336,Customers!G137:'Customers'!G336,"Not Found")</f>
        <v>Reyansh Sinha</v>
      </c>
      <c r="N136" s="4" t="str">
        <f t="shared" si="19"/>
        <v>Wholesale</v>
      </c>
      <c r="O136" t="s">
        <v>1018</v>
      </c>
      <c r="P136" t="s">
        <v>1066</v>
      </c>
      <c r="Q136" t="s">
        <v>615</v>
      </c>
      <c r="R136" t="s">
        <v>613</v>
      </c>
    </row>
    <row r="137" spans="1:18" x14ac:dyDescent="0.35">
      <c r="A137" t="s">
        <v>142</v>
      </c>
      <c r="B137" s="1">
        <v>45683</v>
      </c>
      <c r="C137" t="s">
        <v>342</v>
      </c>
      <c r="D137" t="s">
        <v>542</v>
      </c>
      <c r="E137">
        <v>2</v>
      </c>
      <c r="F137" s="6">
        <v>47500</v>
      </c>
      <c r="G137" s="6">
        <f t="shared" si="15"/>
        <v>95000</v>
      </c>
      <c r="H137" s="2">
        <v>0.1</v>
      </c>
      <c r="I137" s="6">
        <f t="shared" si="16"/>
        <v>9500</v>
      </c>
      <c r="J137" s="6">
        <f t="shared" si="14"/>
        <v>38000</v>
      </c>
      <c r="K137" s="6">
        <f t="shared" si="17"/>
        <v>123500</v>
      </c>
      <c r="L137" s="6">
        <f t="shared" si="18"/>
        <v>28500</v>
      </c>
      <c r="M137" s="6" t="str" cm="1">
        <f t="array" ref="M137">_xlfn.XLOOKUP(Orders!C137,Customers!A138:A337,Customers!G138:'Customers'!G337,"Not Found")</f>
        <v>Myra Banerjee</v>
      </c>
      <c r="N137" s="4" t="str">
        <f t="shared" si="19"/>
        <v>Industrial</v>
      </c>
      <c r="O137" t="s">
        <v>1018</v>
      </c>
      <c r="P137" t="s">
        <v>1063</v>
      </c>
      <c r="Q137" t="s">
        <v>615</v>
      </c>
      <c r="R137" t="s">
        <v>613</v>
      </c>
    </row>
    <row r="138" spans="1:18" x14ac:dyDescent="0.35">
      <c r="A138" t="s">
        <v>143</v>
      </c>
      <c r="B138" s="1">
        <v>45683</v>
      </c>
      <c r="C138" t="s">
        <v>343</v>
      </c>
      <c r="D138" t="s">
        <v>543</v>
      </c>
      <c r="E138">
        <v>2</v>
      </c>
      <c r="F138" s="6">
        <v>49000</v>
      </c>
      <c r="G138" s="6">
        <f t="shared" si="15"/>
        <v>98000</v>
      </c>
      <c r="H138" s="2">
        <v>0.15</v>
      </c>
      <c r="I138" s="6">
        <f t="shared" si="16"/>
        <v>14700</v>
      </c>
      <c r="J138" s="6">
        <f t="shared" si="14"/>
        <v>39200</v>
      </c>
      <c r="K138" s="6">
        <f t="shared" si="17"/>
        <v>122500</v>
      </c>
      <c r="L138" s="6">
        <f t="shared" si="18"/>
        <v>24500</v>
      </c>
      <c r="M138" s="6" t="str" cm="1">
        <f t="array" ref="M138">_xlfn.XLOOKUP(Orders!C138,Customers!A139:A338,Customers!G139:'Customers'!G338,"Not Found")</f>
        <v>Krish Vohra</v>
      </c>
      <c r="N138" s="4" t="str">
        <f t="shared" si="19"/>
        <v>Industrial</v>
      </c>
      <c r="O138" t="s">
        <v>1018</v>
      </c>
      <c r="P138" t="s">
        <v>1073</v>
      </c>
      <c r="Q138" t="s">
        <v>615</v>
      </c>
      <c r="R138" t="s">
        <v>613</v>
      </c>
    </row>
    <row r="139" spans="1:18" x14ac:dyDescent="0.35">
      <c r="A139" t="s">
        <v>144</v>
      </c>
      <c r="B139" s="1">
        <v>45683</v>
      </c>
      <c r="C139" t="s">
        <v>344</v>
      </c>
      <c r="D139" t="s">
        <v>544</v>
      </c>
      <c r="E139">
        <v>2</v>
      </c>
      <c r="F139" s="6">
        <v>51500</v>
      </c>
      <c r="G139" s="6">
        <f t="shared" si="15"/>
        <v>103000</v>
      </c>
      <c r="H139" s="2">
        <v>0.2</v>
      </c>
      <c r="I139" s="6">
        <f t="shared" si="16"/>
        <v>20600</v>
      </c>
      <c r="J139" s="6">
        <f t="shared" si="14"/>
        <v>41200</v>
      </c>
      <c r="K139" s="6">
        <f t="shared" si="17"/>
        <v>123600</v>
      </c>
      <c r="L139" s="6">
        <f t="shared" si="18"/>
        <v>20600</v>
      </c>
      <c r="M139" s="6" t="str" cm="1">
        <f t="array" ref="M139">_xlfn.XLOOKUP(Orders!C139,Customers!A140:A339,Customers!G140:'Customers'!G339,"Not Found")</f>
        <v>Kiara Sharma</v>
      </c>
      <c r="N139" s="4" t="str">
        <f t="shared" si="19"/>
        <v>Industrial</v>
      </c>
      <c r="O139" t="s">
        <v>1018</v>
      </c>
      <c r="P139" t="s">
        <v>1075</v>
      </c>
      <c r="Q139" t="s">
        <v>609</v>
      </c>
      <c r="R139" t="s">
        <v>613</v>
      </c>
    </row>
    <row r="140" spans="1:18" x14ac:dyDescent="0.35">
      <c r="A140" t="s">
        <v>145</v>
      </c>
      <c r="B140" s="1">
        <v>45683</v>
      </c>
      <c r="C140" t="s">
        <v>345</v>
      </c>
      <c r="D140" t="s">
        <v>545</v>
      </c>
      <c r="E140">
        <v>1</v>
      </c>
      <c r="F140" s="6">
        <v>70000</v>
      </c>
      <c r="G140" s="6">
        <f t="shared" si="15"/>
        <v>70000</v>
      </c>
      <c r="H140" s="3">
        <v>0.125</v>
      </c>
      <c r="I140" s="6">
        <f t="shared" si="16"/>
        <v>8750</v>
      </c>
      <c r="J140" s="6">
        <f t="shared" si="14"/>
        <v>28000</v>
      </c>
      <c r="K140" s="6">
        <f t="shared" si="17"/>
        <v>89250</v>
      </c>
      <c r="L140" s="6">
        <f t="shared" si="18"/>
        <v>19250</v>
      </c>
      <c r="M140" s="6" t="str" cm="1">
        <f t="array" ref="M140">_xlfn.XLOOKUP(Orders!C140,Customers!A141:A340,Customers!G141:'Customers'!G340,"Not Found")</f>
        <v>Atharv Bansal</v>
      </c>
      <c r="N140" s="4" t="str">
        <f t="shared" si="19"/>
        <v>Large</v>
      </c>
      <c r="O140" t="s">
        <v>1013</v>
      </c>
      <c r="P140" t="s">
        <v>1055</v>
      </c>
      <c r="Q140" t="s">
        <v>615</v>
      </c>
      <c r="R140" t="s">
        <v>613</v>
      </c>
    </row>
    <row r="141" spans="1:18" x14ac:dyDescent="0.35">
      <c r="A141" t="s">
        <v>146</v>
      </c>
      <c r="B141" s="1">
        <v>45683</v>
      </c>
      <c r="C141" t="s">
        <v>346</v>
      </c>
      <c r="D141" t="s">
        <v>546</v>
      </c>
      <c r="E141">
        <v>1</v>
      </c>
      <c r="F141" s="6">
        <v>81000</v>
      </c>
      <c r="G141" s="6">
        <f t="shared" si="15"/>
        <v>81000</v>
      </c>
      <c r="H141" s="2">
        <v>0.2</v>
      </c>
      <c r="I141" s="6">
        <f t="shared" si="16"/>
        <v>16200</v>
      </c>
      <c r="J141" s="6">
        <f t="shared" si="14"/>
        <v>32400</v>
      </c>
      <c r="K141" s="6">
        <f t="shared" si="17"/>
        <v>97200</v>
      </c>
      <c r="L141" s="6">
        <f t="shared" si="18"/>
        <v>16200</v>
      </c>
      <c r="M141" s="6" t="str" cm="1">
        <f t="array" ref="M141">_xlfn.XLOOKUP(Orders!C141,Customers!A142:A341,Customers!G142:'Customers'!G341,"Not Found")</f>
        <v>Anika Chopra</v>
      </c>
      <c r="N141" s="4" t="str">
        <f t="shared" si="19"/>
        <v>Large</v>
      </c>
      <c r="O141" t="s">
        <v>1013</v>
      </c>
      <c r="P141" t="s">
        <v>1070</v>
      </c>
      <c r="Q141" t="s">
        <v>615</v>
      </c>
      <c r="R141" t="s">
        <v>613</v>
      </c>
    </row>
    <row r="142" spans="1:18" x14ac:dyDescent="0.35">
      <c r="A142" t="s">
        <v>147</v>
      </c>
      <c r="B142" s="1">
        <v>45683</v>
      </c>
      <c r="C142" t="s">
        <v>347</v>
      </c>
      <c r="D142" t="s">
        <v>547</v>
      </c>
      <c r="E142">
        <v>2</v>
      </c>
      <c r="F142" s="6">
        <v>56000</v>
      </c>
      <c r="G142" s="6">
        <f t="shared" si="15"/>
        <v>112000</v>
      </c>
      <c r="H142" s="2">
        <v>0.25</v>
      </c>
      <c r="I142" s="6">
        <f t="shared" si="16"/>
        <v>28000</v>
      </c>
      <c r="J142" s="6">
        <f t="shared" si="14"/>
        <v>44800</v>
      </c>
      <c r="K142" s="6">
        <f t="shared" si="17"/>
        <v>128800</v>
      </c>
      <c r="L142" s="6">
        <f t="shared" si="18"/>
        <v>16800</v>
      </c>
      <c r="M142" s="6" t="str" cm="1">
        <f t="array" ref="M142">_xlfn.XLOOKUP(Orders!C142,Customers!A143:A342,Customers!G143:'Customers'!G342,"Not Found")</f>
        <v>Dhruv Sethi</v>
      </c>
      <c r="N142" s="4" t="str">
        <f t="shared" si="19"/>
        <v>Wholesale</v>
      </c>
      <c r="O142" t="s">
        <v>1033</v>
      </c>
      <c r="P142" t="s">
        <v>1074</v>
      </c>
      <c r="Q142" t="s">
        <v>615</v>
      </c>
      <c r="R142" t="s">
        <v>613</v>
      </c>
    </row>
    <row r="143" spans="1:18" x14ac:dyDescent="0.35">
      <c r="A143" t="s">
        <v>148</v>
      </c>
      <c r="B143" s="1">
        <v>45683</v>
      </c>
      <c r="C143" t="s">
        <v>348</v>
      </c>
      <c r="D143" t="s">
        <v>548</v>
      </c>
      <c r="E143">
        <v>1</v>
      </c>
      <c r="F143" s="6">
        <v>35000</v>
      </c>
      <c r="G143" s="6">
        <f t="shared" si="15"/>
        <v>35000</v>
      </c>
      <c r="H143" s="2">
        <v>0.05</v>
      </c>
      <c r="I143" s="6">
        <f t="shared" si="16"/>
        <v>1750</v>
      </c>
      <c r="J143" s="6">
        <f t="shared" si="14"/>
        <v>14000</v>
      </c>
      <c r="K143" s="6">
        <f t="shared" si="17"/>
        <v>47250</v>
      </c>
      <c r="L143" s="6">
        <f t="shared" si="18"/>
        <v>12250</v>
      </c>
      <c r="M143" s="6" t="str" cm="1">
        <f t="array" ref="M143">_xlfn.XLOOKUP(Orders!C143,Customers!A144:A343,Customers!G144:'Customers'!G343,"Not Found")</f>
        <v>Saanvi Jain</v>
      </c>
      <c r="N143" s="4" t="str">
        <f t="shared" si="19"/>
        <v>Large</v>
      </c>
      <c r="O143" t="s">
        <v>1013</v>
      </c>
      <c r="P143" t="s">
        <v>1061</v>
      </c>
      <c r="Q143" t="s">
        <v>609</v>
      </c>
      <c r="R143" t="s">
        <v>613</v>
      </c>
    </row>
    <row r="144" spans="1:18" x14ac:dyDescent="0.35">
      <c r="A144" t="s">
        <v>149</v>
      </c>
      <c r="B144" s="1">
        <v>45683</v>
      </c>
      <c r="C144" t="s">
        <v>349</v>
      </c>
      <c r="D144" t="s">
        <v>549</v>
      </c>
      <c r="E144">
        <v>3</v>
      </c>
      <c r="F144" s="6">
        <v>24500</v>
      </c>
      <c r="G144" s="6">
        <f t="shared" si="15"/>
        <v>73500</v>
      </c>
      <c r="H144" s="2">
        <v>0.12</v>
      </c>
      <c r="I144" s="6">
        <f t="shared" si="16"/>
        <v>8820</v>
      </c>
      <c r="J144" s="6">
        <f t="shared" si="14"/>
        <v>29400</v>
      </c>
      <c r="K144" s="6">
        <f t="shared" si="17"/>
        <v>94080</v>
      </c>
      <c r="L144" s="6">
        <f t="shared" si="18"/>
        <v>20580</v>
      </c>
      <c r="M144" s="6" t="str" cm="1">
        <f t="array" ref="M144">_xlfn.XLOOKUP(Orders!C144,Customers!A145:A344,Customers!G145:'Customers'!G344,"Not Found")</f>
        <v>Rudra Mukherjee</v>
      </c>
      <c r="N144" s="4" t="str">
        <f t="shared" si="19"/>
        <v>Large</v>
      </c>
      <c r="O144" t="s">
        <v>1034</v>
      </c>
      <c r="P144" t="s">
        <v>1052</v>
      </c>
      <c r="Q144" t="s">
        <v>615</v>
      </c>
      <c r="R144" t="s">
        <v>613</v>
      </c>
    </row>
    <row r="145" spans="1:18" x14ac:dyDescent="0.35">
      <c r="A145" t="s">
        <v>150</v>
      </c>
      <c r="B145" s="1">
        <v>45683</v>
      </c>
      <c r="C145" t="s">
        <v>350</v>
      </c>
      <c r="D145" t="s">
        <v>550</v>
      </c>
      <c r="E145">
        <v>1</v>
      </c>
      <c r="F145" s="6">
        <v>245000</v>
      </c>
      <c r="G145" s="6">
        <f t="shared" si="15"/>
        <v>245000</v>
      </c>
      <c r="H145" s="2">
        <v>0.25</v>
      </c>
      <c r="I145" s="6">
        <f t="shared" si="16"/>
        <v>61250</v>
      </c>
      <c r="J145" s="6">
        <f t="shared" si="14"/>
        <v>98000</v>
      </c>
      <c r="K145" s="6">
        <f t="shared" si="17"/>
        <v>281750</v>
      </c>
      <c r="L145" s="6">
        <f t="shared" si="18"/>
        <v>36750</v>
      </c>
      <c r="M145" s="6" t="str" cm="1">
        <f t="array" ref="M145">_xlfn.XLOOKUP(Orders!C145,Customers!A146:A345,Customers!G146:'Customers'!G345,"Not Found")</f>
        <v>Navya Dubey</v>
      </c>
      <c r="N145" s="4" t="str">
        <f t="shared" si="19"/>
        <v>Wholesale</v>
      </c>
      <c r="O145" t="s">
        <v>1013</v>
      </c>
      <c r="P145" t="s">
        <v>1049</v>
      </c>
      <c r="Q145" t="s">
        <v>615</v>
      </c>
      <c r="R145" t="s">
        <v>613</v>
      </c>
    </row>
    <row r="146" spans="1:18" x14ac:dyDescent="0.35">
      <c r="A146" t="s">
        <v>151</v>
      </c>
      <c r="B146" s="1">
        <v>45683</v>
      </c>
      <c r="C146" t="s">
        <v>351</v>
      </c>
      <c r="D146" t="s">
        <v>551</v>
      </c>
      <c r="E146">
        <v>2</v>
      </c>
      <c r="F146" s="6">
        <v>34599</v>
      </c>
      <c r="G146" s="6">
        <f t="shared" si="15"/>
        <v>69198</v>
      </c>
      <c r="H146" s="2">
        <v>0.25</v>
      </c>
      <c r="I146" s="6">
        <f t="shared" si="16"/>
        <v>17299.5</v>
      </c>
      <c r="J146" s="6">
        <f t="shared" si="14"/>
        <v>27679.200000000001</v>
      </c>
      <c r="K146" s="6">
        <f t="shared" si="17"/>
        <v>79577.7</v>
      </c>
      <c r="L146" s="6">
        <f t="shared" si="18"/>
        <v>10379.699999999997</v>
      </c>
      <c r="M146" s="6" t="str" cm="1">
        <f t="array" ref="M146">_xlfn.XLOOKUP(Orders!C146,Customers!A147:A346,Customers!G147:'Customers'!G346,"Not Found")</f>
        <v>Ayush Naidu</v>
      </c>
      <c r="N146" s="4" t="str">
        <f t="shared" si="19"/>
        <v>Large</v>
      </c>
      <c r="O146" t="s">
        <v>1013</v>
      </c>
      <c r="P146" t="s">
        <v>1087</v>
      </c>
      <c r="Q146" t="s">
        <v>615</v>
      </c>
      <c r="R146" t="s">
        <v>613</v>
      </c>
    </row>
    <row r="147" spans="1:18" x14ac:dyDescent="0.35">
      <c r="A147" t="s">
        <v>152</v>
      </c>
      <c r="B147" s="1">
        <v>45683</v>
      </c>
      <c r="C147" t="s">
        <v>352</v>
      </c>
      <c r="D147" t="s">
        <v>552</v>
      </c>
      <c r="E147">
        <v>3</v>
      </c>
      <c r="F147" s="6">
        <v>45612</v>
      </c>
      <c r="G147" s="6">
        <f t="shared" si="15"/>
        <v>136836</v>
      </c>
      <c r="H147" s="2">
        <v>0.2</v>
      </c>
      <c r="I147" s="6">
        <f t="shared" si="16"/>
        <v>27367.200000000001</v>
      </c>
      <c r="J147" s="6">
        <f t="shared" si="14"/>
        <v>54734.400000000001</v>
      </c>
      <c r="K147" s="6">
        <f t="shared" si="17"/>
        <v>164203.19999999998</v>
      </c>
      <c r="L147" s="6">
        <f t="shared" si="18"/>
        <v>27367.199999999983</v>
      </c>
      <c r="M147" s="6" t="str" cm="1">
        <f t="array" ref="M147">_xlfn.XLOOKUP(Orders!C147,Customers!A148:A347,Customers!G148:'Customers'!G347,"Not Found")</f>
        <v>Tanya Malhotra</v>
      </c>
      <c r="N147" s="4" t="str">
        <f t="shared" si="19"/>
        <v>Wholesale</v>
      </c>
      <c r="O147" t="s">
        <v>1013</v>
      </c>
      <c r="P147" t="s">
        <v>1082</v>
      </c>
      <c r="Q147" t="s">
        <v>609</v>
      </c>
      <c r="R147" t="s">
        <v>613</v>
      </c>
    </row>
    <row r="148" spans="1:18" x14ac:dyDescent="0.35">
      <c r="A148" t="s">
        <v>153</v>
      </c>
      <c r="B148" s="1">
        <v>45683</v>
      </c>
      <c r="C148" t="s">
        <v>353</v>
      </c>
      <c r="D148" t="s">
        <v>553</v>
      </c>
      <c r="E148">
        <v>4</v>
      </c>
      <c r="F148" s="6">
        <v>12345</v>
      </c>
      <c r="G148" s="6">
        <f t="shared" si="15"/>
        <v>49380</v>
      </c>
      <c r="H148" s="2">
        <v>0.15</v>
      </c>
      <c r="I148" s="6">
        <f t="shared" si="16"/>
        <v>7407</v>
      </c>
      <c r="J148" s="6">
        <f t="shared" si="14"/>
        <v>19752</v>
      </c>
      <c r="K148" s="6">
        <f t="shared" si="17"/>
        <v>61725</v>
      </c>
      <c r="L148" s="6">
        <f t="shared" si="18"/>
        <v>12345</v>
      </c>
      <c r="M148" s="6" t="str" cm="1">
        <f t="array" ref="M148">_xlfn.XLOOKUP(Orders!C148,Customers!A149:A348,Customers!G149:'Customers'!G348,"Not Found")</f>
        <v>Arnav Joshi</v>
      </c>
      <c r="N148" s="4" t="str">
        <f t="shared" si="19"/>
        <v>Large</v>
      </c>
      <c r="O148" t="s">
        <v>1018</v>
      </c>
      <c r="P148" t="s">
        <v>1088</v>
      </c>
      <c r="Q148" t="s">
        <v>615</v>
      </c>
      <c r="R148" t="s">
        <v>613</v>
      </c>
    </row>
    <row r="149" spans="1:18" x14ac:dyDescent="0.35">
      <c r="A149" t="s">
        <v>154</v>
      </c>
      <c r="B149" s="1">
        <v>45683</v>
      </c>
      <c r="C149" t="s">
        <v>354</v>
      </c>
      <c r="D149" t="s">
        <v>554</v>
      </c>
      <c r="E149">
        <v>1</v>
      </c>
      <c r="F149" s="6">
        <v>30000</v>
      </c>
      <c r="G149" s="6">
        <f t="shared" si="15"/>
        <v>30000</v>
      </c>
      <c r="H149" s="2">
        <v>0.1</v>
      </c>
      <c r="I149" s="6">
        <f t="shared" si="16"/>
        <v>3000</v>
      </c>
      <c r="J149" s="6">
        <f t="shared" si="14"/>
        <v>12000</v>
      </c>
      <c r="K149" s="6">
        <f t="shared" si="17"/>
        <v>39000</v>
      </c>
      <c r="L149" s="6">
        <f t="shared" si="18"/>
        <v>9000</v>
      </c>
      <c r="M149" s="6" t="str" cm="1">
        <f t="array" ref="M149">_xlfn.XLOOKUP(Orders!C149,Customers!A150:A349,Customers!G150:'Customers'!G349,"Not Found")</f>
        <v>Ira Chawla</v>
      </c>
      <c r="N149" s="4" t="str">
        <f t="shared" si="19"/>
        <v>Large</v>
      </c>
      <c r="O149" t="s">
        <v>1013</v>
      </c>
      <c r="P149" t="s">
        <v>1064</v>
      </c>
      <c r="Q149" t="s">
        <v>615</v>
      </c>
      <c r="R149" t="s">
        <v>613</v>
      </c>
    </row>
    <row r="150" spans="1:18" x14ac:dyDescent="0.35">
      <c r="A150" t="s">
        <v>155</v>
      </c>
      <c r="B150" s="1">
        <v>45683</v>
      </c>
      <c r="C150" t="s">
        <v>355</v>
      </c>
      <c r="D150" t="s">
        <v>555</v>
      </c>
      <c r="E150">
        <v>3</v>
      </c>
      <c r="F150" s="6">
        <v>31000</v>
      </c>
      <c r="G150" s="6">
        <f t="shared" si="15"/>
        <v>93000</v>
      </c>
      <c r="H150" s="2">
        <v>0.14000000000000001</v>
      </c>
      <c r="I150" s="6">
        <f t="shared" si="16"/>
        <v>13020.000000000002</v>
      </c>
      <c r="J150" s="6">
        <f t="shared" si="14"/>
        <v>37200</v>
      </c>
      <c r="K150" s="6">
        <f t="shared" si="17"/>
        <v>117180</v>
      </c>
      <c r="L150" s="6">
        <f t="shared" si="18"/>
        <v>24180</v>
      </c>
      <c r="M150" s="6" t="str" cm="1">
        <f t="array" ref="M150">_xlfn.XLOOKUP(Orders!C150,Customers!A151:A350,Customers!G151:'Customers'!G350,"Not Found")</f>
        <v>Shaurya Goyal</v>
      </c>
      <c r="N150" s="4" t="str">
        <f t="shared" si="19"/>
        <v>Industrial</v>
      </c>
      <c r="O150" t="s">
        <v>1018</v>
      </c>
      <c r="P150" t="s">
        <v>1089</v>
      </c>
      <c r="Q150" t="s">
        <v>615</v>
      </c>
      <c r="R150" t="s">
        <v>613</v>
      </c>
    </row>
    <row r="151" spans="1:18" x14ac:dyDescent="0.35">
      <c r="A151" t="s">
        <v>156</v>
      </c>
      <c r="B151" s="1">
        <v>45683</v>
      </c>
      <c r="C151" t="s">
        <v>356</v>
      </c>
      <c r="D151" t="s">
        <v>556</v>
      </c>
      <c r="E151">
        <v>3</v>
      </c>
      <c r="F151" s="6">
        <v>32000</v>
      </c>
      <c r="G151" s="6">
        <f t="shared" si="15"/>
        <v>96000</v>
      </c>
      <c r="H151" s="2">
        <v>0.25</v>
      </c>
      <c r="I151" s="6">
        <f t="shared" si="16"/>
        <v>24000</v>
      </c>
      <c r="J151" s="6">
        <f t="shared" si="14"/>
        <v>38400</v>
      </c>
      <c r="K151" s="6">
        <f t="shared" si="17"/>
        <v>110400</v>
      </c>
      <c r="L151" s="6">
        <f t="shared" si="18"/>
        <v>14400</v>
      </c>
      <c r="M151" s="6" t="str" cm="1">
        <f t="array" ref="M151">_xlfn.XLOOKUP(Orders!C151,Customers!A152:A351,Customers!G152:'Customers'!G351,"Not Found")</f>
        <v>Mahi Pillai</v>
      </c>
      <c r="N151" s="4" t="str">
        <f t="shared" si="19"/>
        <v>Industrial</v>
      </c>
      <c r="O151" t="s">
        <v>1033</v>
      </c>
      <c r="P151" t="s">
        <v>1087</v>
      </c>
      <c r="Q151" t="s">
        <v>615</v>
      </c>
      <c r="R151" t="s">
        <v>613</v>
      </c>
    </row>
    <row r="152" spans="1:18" x14ac:dyDescent="0.35">
      <c r="A152" t="s">
        <v>157</v>
      </c>
      <c r="B152" s="1">
        <v>45683</v>
      </c>
      <c r="C152" t="s">
        <v>357</v>
      </c>
      <c r="D152" t="s">
        <v>557</v>
      </c>
      <c r="E152">
        <v>3</v>
      </c>
      <c r="F152" s="6">
        <v>33000</v>
      </c>
      <c r="G152" s="6">
        <f t="shared" si="15"/>
        <v>99000</v>
      </c>
      <c r="H152" s="2">
        <v>0.35</v>
      </c>
      <c r="I152" s="6">
        <f t="shared" si="16"/>
        <v>34650</v>
      </c>
      <c r="J152" s="6">
        <f t="shared" si="14"/>
        <v>39600</v>
      </c>
      <c r="K152" s="6">
        <f t="shared" si="17"/>
        <v>103950</v>
      </c>
      <c r="L152" s="6">
        <f t="shared" si="18"/>
        <v>4950</v>
      </c>
      <c r="M152" s="6" t="str" cm="1">
        <f t="array" ref="M152">_xlfn.XLOOKUP(Orders!C152,Customers!A153:A352,Customers!G153:'Customers'!G352,"Not Found")</f>
        <v>Parth Tripathi</v>
      </c>
      <c r="N152" s="4" t="str">
        <f t="shared" si="19"/>
        <v>Industrial</v>
      </c>
      <c r="O152" t="s">
        <v>1018</v>
      </c>
      <c r="P152" t="s">
        <v>1090</v>
      </c>
      <c r="Q152" t="s">
        <v>615</v>
      </c>
      <c r="R152" t="s">
        <v>613</v>
      </c>
    </row>
    <row r="153" spans="1:18" x14ac:dyDescent="0.35">
      <c r="A153" t="s">
        <v>158</v>
      </c>
      <c r="B153" s="1">
        <v>45683</v>
      </c>
      <c r="C153" t="s">
        <v>358</v>
      </c>
      <c r="D153" t="s">
        <v>558</v>
      </c>
      <c r="E153">
        <v>3</v>
      </c>
      <c r="F153" s="6">
        <v>34000</v>
      </c>
      <c r="G153" s="6">
        <f t="shared" si="15"/>
        <v>102000</v>
      </c>
      <c r="H153" s="2">
        <v>0.25</v>
      </c>
      <c r="I153" s="6">
        <f t="shared" si="16"/>
        <v>25500</v>
      </c>
      <c r="J153" s="6">
        <f t="shared" si="14"/>
        <v>40800</v>
      </c>
      <c r="K153" s="6">
        <f t="shared" si="17"/>
        <v>117300</v>
      </c>
      <c r="L153" s="6">
        <f t="shared" si="18"/>
        <v>15300</v>
      </c>
      <c r="M153" s="6" t="str" cm="1">
        <f t="array" ref="M153">_xlfn.XLOOKUP(Orders!C153,Customers!A154:A353,Customers!G154:'Customers'!G353,"Not Found")</f>
        <v>Aanya Bhatt</v>
      </c>
      <c r="N153" s="4" t="str">
        <f t="shared" si="19"/>
        <v>Industrial</v>
      </c>
      <c r="O153" t="s">
        <v>1018</v>
      </c>
      <c r="P153" t="s">
        <v>1091</v>
      </c>
      <c r="Q153" t="s">
        <v>615</v>
      </c>
      <c r="R153" t="s">
        <v>613</v>
      </c>
    </row>
    <row r="154" spans="1:18" x14ac:dyDescent="0.35">
      <c r="A154" t="s">
        <v>159</v>
      </c>
      <c r="B154" s="1">
        <v>45683</v>
      </c>
      <c r="C154" t="s">
        <v>359</v>
      </c>
      <c r="D154" t="s">
        <v>559</v>
      </c>
      <c r="E154">
        <v>4</v>
      </c>
      <c r="F154" s="6">
        <v>35000</v>
      </c>
      <c r="G154" s="6">
        <f t="shared" si="15"/>
        <v>140000</v>
      </c>
      <c r="H154" s="2">
        <v>0.25</v>
      </c>
      <c r="I154" s="6">
        <f t="shared" si="16"/>
        <v>35000</v>
      </c>
      <c r="J154" s="6">
        <f t="shared" si="14"/>
        <v>56000</v>
      </c>
      <c r="K154" s="6">
        <f t="shared" si="17"/>
        <v>161000</v>
      </c>
      <c r="L154" s="6">
        <f t="shared" si="18"/>
        <v>21000</v>
      </c>
      <c r="M154" s="6" t="str" cm="1">
        <f t="array" ref="M154">_xlfn.XLOOKUP(Orders!C154,Customers!A155:A354,Customers!G155:'Customers'!G354,"Not Found")</f>
        <v>Aarav Malhotra</v>
      </c>
      <c r="N154" s="4" t="str">
        <f t="shared" si="19"/>
        <v>Wholesale</v>
      </c>
      <c r="O154" t="s">
        <v>1018</v>
      </c>
      <c r="P154" t="s">
        <v>1081</v>
      </c>
      <c r="Q154" t="s">
        <v>609</v>
      </c>
      <c r="R154" t="s">
        <v>613</v>
      </c>
    </row>
    <row r="155" spans="1:18" x14ac:dyDescent="0.35">
      <c r="A155" t="s">
        <v>160</v>
      </c>
      <c r="B155" s="1">
        <v>45683</v>
      </c>
      <c r="C155" t="s">
        <v>360</v>
      </c>
      <c r="D155" t="s">
        <v>560</v>
      </c>
      <c r="E155">
        <v>4</v>
      </c>
      <c r="F155" s="6">
        <v>36000</v>
      </c>
      <c r="G155" s="6">
        <f t="shared" si="15"/>
        <v>144000</v>
      </c>
      <c r="H155" s="2">
        <v>0.1</v>
      </c>
      <c r="I155" s="6">
        <f t="shared" si="16"/>
        <v>14400</v>
      </c>
      <c r="J155" s="6">
        <f t="shared" si="14"/>
        <v>57600</v>
      </c>
      <c r="K155" s="6">
        <f t="shared" si="17"/>
        <v>187200</v>
      </c>
      <c r="L155" s="6">
        <f t="shared" si="18"/>
        <v>43200</v>
      </c>
      <c r="M155" s="6" t="str" cm="1">
        <f t="array" ref="M155">_xlfn.XLOOKUP(Orders!C155,Customers!A156:A355,Customers!G156:'Customers'!G355,"Not Found")</f>
        <v>Aditi Joshi</v>
      </c>
      <c r="N155" s="4" t="str">
        <f t="shared" si="19"/>
        <v>Wholesale</v>
      </c>
      <c r="O155" t="s">
        <v>1018</v>
      </c>
      <c r="P155" t="s">
        <v>1066</v>
      </c>
      <c r="Q155" t="s">
        <v>609</v>
      </c>
      <c r="R155" t="s">
        <v>613</v>
      </c>
    </row>
    <row r="156" spans="1:18" x14ac:dyDescent="0.35">
      <c r="A156" t="s">
        <v>161</v>
      </c>
      <c r="B156" s="1">
        <v>45683</v>
      </c>
      <c r="C156" t="s">
        <v>361</v>
      </c>
      <c r="D156" t="s">
        <v>561</v>
      </c>
      <c r="E156">
        <v>4</v>
      </c>
      <c r="F156" s="6">
        <v>37000</v>
      </c>
      <c r="G156" s="6">
        <f t="shared" si="15"/>
        <v>148000</v>
      </c>
      <c r="H156" s="2">
        <v>0.15</v>
      </c>
      <c r="I156" s="6">
        <f t="shared" si="16"/>
        <v>22200</v>
      </c>
      <c r="J156" s="6">
        <f t="shared" si="14"/>
        <v>59200</v>
      </c>
      <c r="K156" s="6">
        <f t="shared" si="17"/>
        <v>185000</v>
      </c>
      <c r="L156" s="6">
        <f t="shared" si="18"/>
        <v>37000</v>
      </c>
      <c r="M156" s="6" t="str" cm="1">
        <f t="array" ref="M156">_xlfn.XLOOKUP(Orders!C156,Customers!A157:A356,Customers!G157:'Customers'!G356,"Not Found")</f>
        <v>Arjun Chawla</v>
      </c>
      <c r="N156" s="4" t="str">
        <f t="shared" si="19"/>
        <v>Wholesale</v>
      </c>
      <c r="O156" t="s">
        <v>1018</v>
      </c>
      <c r="P156" t="s">
        <v>1073</v>
      </c>
      <c r="Q156" t="s">
        <v>615</v>
      </c>
      <c r="R156" t="s">
        <v>613</v>
      </c>
    </row>
    <row r="157" spans="1:18" x14ac:dyDescent="0.35">
      <c r="A157" t="s">
        <v>162</v>
      </c>
      <c r="B157" s="1">
        <v>45683</v>
      </c>
      <c r="C157" t="s">
        <v>362</v>
      </c>
      <c r="D157" t="s">
        <v>562</v>
      </c>
      <c r="E157">
        <v>4</v>
      </c>
      <c r="F157" s="6">
        <v>38000</v>
      </c>
      <c r="G157" s="6">
        <f t="shared" si="15"/>
        <v>152000</v>
      </c>
      <c r="H157" s="2">
        <v>0.1</v>
      </c>
      <c r="I157" s="6">
        <f t="shared" si="16"/>
        <v>15200</v>
      </c>
      <c r="J157" s="6">
        <f t="shared" si="14"/>
        <v>60800</v>
      </c>
      <c r="K157" s="6">
        <f t="shared" si="17"/>
        <v>197600</v>
      </c>
      <c r="L157" s="6">
        <f t="shared" si="18"/>
        <v>45600</v>
      </c>
      <c r="M157" s="6" t="str" cm="1">
        <f t="array" ref="M157">_xlfn.XLOOKUP(Orders!C157,Customers!A158:A357,Customers!G158:'Customers'!G357,"Not Found")</f>
        <v>Ananya Goyal</v>
      </c>
      <c r="N157" s="4" t="str">
        <f t="shared" si="19"/>
        <v>Wholesale</v>
      </c>
      <c r="O157" t="s">
        <v>1018</v>
      </c>
      <c r="P157" t="s">
        <v>1071</v>
      </c>
      <c r="Q157" t="s">
        <v>615</v>
      </c>
      <c r="R157" t="s">
        <v>613</v>
      </c>
    </row>
    <row r="158" spans="1:18" x14ac:dyDescent="0.35">
      <c r="A158" t="s">
        <v>163</v>
      </c>
      <c r="B158" s="1">
        <v>45683</v>
      </c>
      <c r="C158" t="s">
        <v>363</v>
      </c>
      <c r="D158" t="s">
        <v>563</v>
      </c>
      <c r="E158">
        <v>4</v>
      </c>
      <c r="F158" s="6">
        <v>39000</v>
      </c>
      <c r="G158" s="6">
        <f t="shared" si="15"/>
        <v>156000</v>
      </c>
      <c r="H158" s="2">
        <v>0.13</v>
      </c>
      <c r="I158" s="6">
        <f t="shared" si="16"/>
        <v>20280</v>
      </c>
      <c r="J158" s="6">
        <f t="shared" si="14"/>
        <v>62400</v>
      </c>
      <c r="K158" s="6">
        <f t="shared" si="17"/>
        <v>198120</v>
      </c>
      <c r="L158" s="6">
        <f t="shared" si="18"/>
        <v>42120</v>
      </c>
      <c r="M158" s="6" t="str" cm="1">
        <f t="array" ref="M158">_xlfn.XLOOKUP(Orders!C158,Customers!A159:A358,Customers!G159:'Customers'!G358,"Not Found")</f>
        <v>Aditya Pillai</v>
      </c>
      <c r="N158" s="4" t="str">
        <f t="shared" si="19"/>
        <v>Wholesale</v>
      </c>
      <c r="O158" t="s">
        <v>1018</v>
      </c>
      <c r="P158" t="s">
        <v>1062</v>
      </c>
      <c r="Q158" t="s">
        <v>615</v>
      </c>
      <c r="R158" t="s">
        <v>613</v>
      </c>
    </row>
    <row r="159" spans="1:18" x14ac:dyDescent="0.35">
      <c r="A159" t="s">
        <v>164</v>
      </c>
      <c r="B159" s="1">
        <v>45683</v>
      </c>
      <c r="C159" t="s">
        <v>364</v>
      </c>
      <c r="D159" t="s">
        <v>564</v>
      </c>
      <c r="E159">
        <v>4</v>
      </c>
      <c r="F159" s="6">
        <v>40000</v>
      </c>
      <c r="G159" s="6">
        <f t="shared" si="15"/>
        <v>160000</v>
      </c>
      <c r="H159" s="2">
        <v>0.14000000000000001</v>
      </c>
      <c r="I159" s="6">
        <f t="shared" si="16"/>
        <v>22400.000000000004</v>
      </c>
      <c r="J159" s="6">
        <f t="shared" si="14"/>
        <v>64000</v>
      </c>
      <c r="K159" s="6">
        <f t="shared" si="17"/>
        <v>201600</v>
      </c>
      <c r="L159" s="6">
        <f t="shared" si="18"/>
        <v>41600</v>
      </c>
      <c r="M159" s="6" t="str" cm="1">
        <f t="array" ref="M159">_xlfn.XLOOKUP(Orders!C159,Customers!A160:A359,Customers!G160:'Customers'!G359,"Not Found")</f>
        <v>Ishita Dagar</v>
      </c>
      <c r="N159" s="4" t="str">
        <f t="shared" si="19"/>
        <v>Wholesale</v>
      </c>
      <c r="O159" t="s">
        <v>1018</v>
      </c>
      <c r="P159" t="s">
        <v>1064</v>
      </c>
      <c r="Q159" t="s">
        <v>614</v>
      </c>
      <c r="R159" t="s">
        <v>613</v>
      </c>
    </row>
    <row r="160" spans="1:18" x14ac:dyDescent="0.35">
      <c r="A160" t="s">
        <v>165</v>
      </c>
      <c r="B160" s="1">
        <v>45683</v>
      </c>
      <c r="C160" t="s">
        <v>365</v>
      </c>
      <c r="D160" t="s">
        <v>565</v>
      </c>
      <c r="E160">
        <v>5</v>
      </c>
      <c r="F160" s="6">
        <v>41000</v>
      </c>
      <c r="G160" s="6">
        <f t="shared" si="15"/>
        <v>205000</v>
      </c>
      <c r="H160" s="2">
        <v>0.16</v>
      </c>
      <c r="I160" s="6">
        <f t="shared" si="16"/>
        <v>32800</v>
      </c>
      <c r="J160" s="6">
        <f t="shared" si="14"/>
        <v>82000</v>
      </c>
      <c r="K160" s="6">
        <f t="shared" si="17"/>
        <v>254200</v>
      </c>
      <c r="L160" s="6">
        <f t="shared" si="18"/>
        <v>49200</v>
      </c>
      <c r="M160" s="6" t="str" cm="1">
        <f t="array" ref="M160">_xlfn.XLOOKUP(Orders!C160,Customers!A161:A360,Customers!G161:'Customers'!G360,"Not Found")</f>
        <v>Kabir Bhatt</v>
      </c>
      <c r="N160" s="4" t="str">
        <f t="shared" si="19"/>
        <v>Wholesale</v>
      </c>
      <c r="O160" t="s">
        <v>1018</v>
      </c>
      <c r="P160" t="s">
        <v>1092</v>
      </c>
      <c r="Q160" t="s">
        <v>615</v>
      </c>
      <c r="R160" t="s">
        <v>613</v>
      </c>
    </row>
    <row r="161" spans="1:18" x14ac:dyDescent="0.35">
      <c r="A161" t="s">
        <v>166</v>
      </c>
      <c r="B161" s="1">
        <v>45683</v>
      </c>
      <c r="C161" t="s">
        <v>366</v>
      </c>
      <c r="D161" t="s">
        <v>566</v>
      </c>
      <c r="E161">
        <v>5</v>
      </c>
      <c r="F161" s="6">
        <v>42000</v>
      </c>
      <c r="G161" s="6">
        <f t="shared" si="15"/>
        <v>210000</v>
      </c>
      <c r="H161" s="2">
        <v>0.12</v>
      </c>
      <c r="I161" s="6">
        <f t="shared" si="16"/>
        <v>25200</v>
      </c>
      <c r="J161" s="6">
        <f t="shared" si="14"/>
        <v>84000</v>
      </c>
      <c r="K161" s="6">
        <f t="shared" si="17"/>
        <v>268800</v>
      </c>
      <c r="L161" s="6">
        <f t="shared" si="18"/>
        <v>58800</v>
      </c>
      <c r="M161" s="6" t="str" cm="1">
        <f t="array" ref="M161">_xlfn.XLOOKUP(Orders!C161,Customers!A162:A361,Customers!G162:'Customers'!G361,"Not Found")</f>
        <v>Meera Kapoor</v>
      </c>
      <c r="N161" s="4" t="str">
        <f t="shared" si="19"/>
        <v>Wholesale</v>
      </c>
      <c r="O161" t="s">
        <v>1018</v>
      </c>
      <c r="P161" t="s">
        <v>1092</v>
      </c>
      <c r="Q161" t="s">
        <v>615</v>
      </c>
      <c r="R161" t="s">
        <v>613</v>
      </c>
    </row>
    <row r="162" spans="1:18" x14ac:dyDescent="0.35">
      <c r="A162" t="s">
        <v>167</v>
      </c>
      <c r="B162" s="1">
        <v>45683</v>
      </c>
      <c r="C162" t="s">
        <v>367</v>
      </c>
      <c r="D162" t="s">
        <v>567</v>
      </c>
      <c r="E162">
        <v>5</v>
      </c>
      <c r="F162" s="6">
        <v>43000</v>
      </c>
      <c r="G162" s="6">
        <f t="shared" si="15"/>
        <v>215000</v>
      </c>
      <c r="H162" s="2">
        <v>0.11</v>
      </c>
      <c r="I162" s="6">
        <f t="shared" si="16"/>
        <v>23650</v>
      </c>
      <c r="J162" s="6">
        <f t="shared" si="14"/>
        <v>86000</v>
      </c>
      <c r="K162" s="6">
        <f t="shared" si="17"/>
        <v>277350</v>
      </c>
      <c r="L162" s="6">
        <f t="shared" si="18"/>
        <v>62350</v>
      </c>
      <c r="M162" s="6" t="str" cm="1">
        <f t="array" ref="M162">_xlfn.XLOOKUP(Orders!C162,Customers!A163:A362,Customers!G163:'Customers'!G362,"Not Found")</f>
        <v>Rohan Nair</v>
      </c>
      <c r="N162" s="4" t="str">
        <f t="shared" si="19"/>
        <v>Wholesale</v>
      </c>
      <c r="O162" t="s">
        <v>1018</v>
      </c>
      <c r="P162" t="s">
        <v>1087</v>
      </c>
      <c r="Q162" t="s">
        <v>609</v>
      </c>
      <c r="R162" t="s">
        <v>613</v>
      </c>
    </row>
    <row r="163" spans="1:18" x14ac:dyDescent="0.35">
      <c r="A163" t="s">
        <v>168</v>
      </c>
      <c r="B163" s="1">
        <v>45683</v>
      </c>
      <c r="C163" t="s">
        <v>368</v>
      </c>
      <c r="D163" t="s">
        <v>568</v>
      </c>
      <c r="E163">
        <v>5</v>
      </c>
      <c r="F163" s="6">
        <v>44000</v>
      </c>
      <c r="G163" s="6">
        <f t="shared" si="15"/>
        <v>220000</v>
      </c>
      <c r="H163" s="2">
        <v>0.4</v>
      </c>
      <c r="I163" s="6">
        <f t="shared" si="16"/>
        <v>88000</v>
      </c>
      <c r="J163" s="6">
        <f t="shared" si="14"/>
        <v>88000</v>
      </c>
      <c r="K163" s="6">
        <f t="shared" si="17"/>
        <v>220000</v>
      </c>
      <c r="L163" s="6">
        <f t="shared" si="18"/>
        <v>0</v>
      </c>
      <c r="M163" s="6" t="str" cm="1">
        <f t="array" ref="M163">_xlfn.XLOOKUP(Orders!C163,Customers!A164:A363,Customers!G164:'Customers'!G363,"Not Found")</f>
        <v>Priya Rao</v>
      </c>
      <c r="N163" s="4" t="str">
        <f t="shared" si="19"/>
        <v>Wholesale</v>
      </c>
      <c r="O163" t="s">
        <v>1018</v>
      </c>
      <c r="P163" t="s">
        <v>1082</v>
      </c>
      <c r="Q163" t="s">
        <v>615</v>
      </c>
      <c r="R163" t="s">
        <v>613</v>
      </c>
    </row>
    <row r="164" spans="1:18" x14ac:dyDescent="0.35">
      <c r="A164" t="s">
        <v>169</v>
      </c>
      <c r="B164" s="1">
        <v>45683</v>
      </c>
      <c r="C164" t="s">
        <v>369</v>
      </c>
      <c r="D164" t="s">
        <v>569</v>
      </c>
      <c r="E164">
        <v>5</v>
      </c>
      <c r="F164" s="6">
        <v>45000</v>
      </c>
      <c r="G164" s="6">
        <f t="shared" si="15"/>
        <v>225000</v>
      </c>
      <c r="H164" s="2">
        <v>0.4</v>
      </c>
      <c r="I164" s="6">
        <f t="shared" si="16"/>
        <v>90000</v>
      </c>
      <c r="J164" s="6">
        <f t="shared" ref="J164:J195" si="20">G164*0.4</f>
        <v>90000</v>
      </c>
      <c r="K164" s="6">
        <f t="shared" si="17"/>
        <v>225000</v>
      </c>
      <c r="L164" s="6">
        <f t="shared" si="18"/>
        <v>0</v>
      </c>
      <c r="M164" s="6" t="str" cm="1">
        <f t="array" ref="M164">_xlfn.XLOOKUP(Orders!C164,Customers!A165:A364,Customers!G165:'Customers'!G364,"Not Found")</f>
        <v>Rahul Bhatia</v>
      </c>
      <c r="N164" s="4" t="str">
        <f t="shared" si="19"/>
        <v>Wholesale</v>
      </c>
      <c r="O164" t="s">
        <v>1018</v>
      </c>
      <c r="P164" t="s">
        <v>1055</v>
      </c>
      <c r="Q164" t="s">
        <v>609</v>
      </c>
      <c r="R164" t="s">
        <v>613</v>
      </c>
    </row>
    <row r="165" spans="1:18" x14ac:dyDescent="0.35">
      <c r="A165" t="s">
        <v>170</v>
      </c>
      <c r="B165" s="1">
        <v>45683</v>
      </c>
      <c r="C165" t="s">
        <v>370</v>
      </c>
      <c r="D165" t="s">
        <v>570</v>
      </c>
      <c r="E165">
        <v>5</v>
      </c>
      <c r="F165" s="6">
        <v>46000</v>
      </c>
      <c r="G165" s="6">
        <f t="shared" si="15"/>
        <v>230000</v>
      </c>
      <c r="H165" s="2">
        <v>0.4</v>
      </c>
      <c r="I165" s="6">
        <f t="shared" si="16"/>
        <v>92000</v>
      </c>
      <c r="J165" s="6">
        <f t="shared" si="20"/>
        <v>92000</v>
      </c>
      <c r="K165" s="6">
        <f t="shared" si="17"/>
        <v>230000</v>
      </c>
      <c r="L165" s="6">
        <f t="shared" si="18"/>
        <v>0</v>
      </c>
      <c r="M165" s="6" t="str" cm="1">
        <f t="array" ref="M165">_xlfn.XLOOKUP(Orders!C165,Customers!A166:A365,Customers!G166:'Customers'!G365,"Not Found")</f>
        <v>Sneha Menon</v>
      </c>
      <c r="N165" s="4" t="str">
        <f t="shared" si="19"/>
        <v>Wholesale</v>
      </c>
      <c r="O165" t="s">
        <v>1033</v>
      </c>
      <c r="P165" t="s">
        <v>1088</v>
      </c>
      <c r="Q165" t="s">
        <v>615</v>
      </c>
      <c r="R165" t="s">
        <v>613</v>
      </c>
    </row>
    <row r="166" spans="1:18" x14ac:dyDescent="0.35">
      <c r="A166" t="s">
        <v>171</v>
      </c>
      <c r="B166" s="1">
        <v>45683</v>
      </c>
      <c r="C166" t="s">
        <v>371</v>
      </c>
      <c r="D166" t="s">
        <v>571</v>
      </c>
      <c r="E166">
        <v>5</v>
      </c>
      <c r="F166" s="6">
        <v>47000</v>
      </c>
      <c r="G166" s="6">
        <f t="shared" si="15"/>
        <v>235000</v>
      </c>
      <c r="H166" s="2">
        <v>0.2</v>
      </c>
      <c r="I166" s="6">
        <f t="shared" si="16"/>
        <v>47000</v>
      </c>
      <c r="J166" s="6">
        <f t="shared" si="20"/>
        <v>94000</v>
      </c>
      <c r="K166" s="6">
        <f t="shared" si="17"/>
        <v>282000</v>
      </c>
      <c r="L166" s="6">
        <f t="shared" si="18"/>
        <v>47000</v>
      </c>
      <c r="M166" s="6" t="str" cm="1">
        <f t="array" ref="M166">_xlfn.XLOOKUP(Orders!C166,Customers!A167:A366,Customers!G167:'Customers'!G366,"Not Found")</f>
        <v>Vihaan Shukla</v>
      </c>
      <c r="N166" s="4" t="str">
        <f t="shared" si="19"/>
        <v>Wholesale</v>
      </c>
      <c r="O166" t="s">
        <v>1033</v>
      </c>
      <c r="P166" t="s">
        <v>1082</v>
      </c>
      <c r="Q166" t="s">
        <v>615</v>
      </c>
      <c r="R166" t="s">
        <v>613</v>
      </c>
    </row>
    <row r="167" spans="1:18" x14ac:dyDescent="0.35">
      <c r="A167" t="s">
        <v>172</v>
      </c>
      <c r="B167" s="1">
        <v>45684</v>
      </c>
      <c r="C167" t="s">
        <v>372</v>
      </c>
      <c r="D167" t="s">
        <v>572</v>
      </c>
      <c r="E167">
        <v>5</v>
      </c>
      <c r="F167" s="6">
        <v>48000</v>
      </c>
      <c r="G167" s="6">
        <f t="shared" si="15"/>
        <v>240000</v>
      </c>
      <c r="H167" s="2">
        <v>4.4999999999999998E-2</v>
      </c>
      <c r="I167" s="6">
        <f t="shared" si="16"/>
        <v>10800</v>
      </c>
      <c r="J167" s="6">
        <f t="shared" si="20"/>
        <v>96000</v>
      </c>
      <c r="K167" s="6">
        <f t="shared" si="17"/>
        <v>325200</v>
      </c>
      <c r="L167" s="6">
        <f t="shared" si="18"/>
        <v>85200</v>
      </c>
      <c r="M167" s="6" t="str" cm="1">
        <f t="array" ref="M167">_xlfn.XLOOKUP(Orders!C167,Customers!A168:A367,Customers!G168:'Customers'!G367,"Not Found")</f>
        <v>Diya Ahuja</v>
      </c>
      <c r="N167" s="4" t="str">
        <f t="shared" si="19"/>
        <v>Wholesale</v>
      </c>
      <c r="O167" t="s">
        <v>1033</v>
      </c>
      <c r="P167" t="s">
        <v>1055</v>
      </c>
      <c r="Q167" t="s">
        <v>615</v>
      </c>
      <c r="R167" t="s">
        <v>613</v>
      </c>
    </row>
    <row r="168" spans="1:18" x14ac:dyDescent="0.35">
      <c r="A168" t="s">
        <v>173</v>
      </c>
      <c r="B168" s="1">
        <v>45684</v>
      </c>
      <c r="C168" t="s">
        <v>373</v>
      </c>
      <c r="D168" t="s">
        <v>573</v>
      </c>
      <c r="E168">
        <v>5</v>
      </c>
      <c r="F168" s="6">
        <v>49000</v>
      </c>
      <c r="G168" s="6">
        <f t="shared" si="15"/>
        <v>245000</v>
      </c>
      <c r="H168" s="2">
        <v>5.5E-2</v>
      </c>
      <c r="I168" s="6">
        <f t="shared" si="16"/>
        <v>13475</v>
      </c>
      <c r="J168" s="6">
        <f t="shared" si="20"/>
        <v>98000</v>
      </c>
      <c r="K168" s="6">
        <f t="shared" si="17"/>
        <v>329525</v>
      </c>
      <c r="L168" s="6">
        <f t="shared" si="18"/>
        <v>84525</v>
      </c>
      <c r="M168" s="6" t="str" cm="1">
        <f t="array" ref="M168">_xlfn.XLOOKUP(Orders!C168,Customers!A169:A368,Customers!G169:'Customers'!G368,"Not Found")</f>
        <v>Karan Singh</v>
      </c>
      <c r="N168" s="4" t="str">
        <f t="shared" si="19"/>
        <v>Wholesale</v>
      </c>
      <c r="O168" t="s">
        <v>1033</v>
      </c>
      <c r="P168" t="s">
        <v>1093</v>
      </c>
      <c r="Q168" t="s">
        <v>615</v>
      </c>
      <c r="R168" t="s">
        <v>613</v>
      </c>
    </row>
    <row r="169" spans="1:18" x14ac:dyDescent="0.35">
      <c r="A169" t="s">
        <v>174</v>
      </c>
      <c r="B169" s="1">
        <v>45684</v>
      </c>
      <c r="C169" t="s">
        <v>374</v>
      </c>
      <c r="D169" t="s">
        <v>574</v>
      </c>
      <c r="E169">
        <v>5</v>
      </c>
      <c r="F169" s="6">
        <v>50000</v>
      </c>
      <c r="G169" s="6">
        <f t="shared" si="15"/>
        <v>250000</v>
      </c>
      <c r="H169" s="2">
        <v>0.4</v>
      </c>
      <c r="I169" s="6">
        <f t="shared" si="16"/>
        <v>100000</v>
      </c>
      <c r="J169" s="6">
        <f t="shared" si="20"/>
        <v>100000</v>
      </c>
      <c r="K169" s="6">
        <f t="shared" si="17"/>
        <v>250000</v>
      </c>
      <c r="L169" s="6">
        <f t="shared" si="18"/>
        <v>0</v>
      </c>
      <c r="M169" s="6" t="str" cm="1">
        <f t="array" ref="M169">_xlfn.XLOOKUP(Orders!C169,Customers!A170:A369,Customers!G170:'Customers'!G369,"Not Found")</f>
        <v>Neha Reddy</v>
      </c>
      <c r="N169" s="4" t="str">
        <f t="shared" si="19"/>
        <v>Wholesale</v>
      </c>
      <c r="O169" t="s">
        <v>1013</v>
      </c>
      <c r="P169" t="s">
        <v>1054</v>
      </c>
      <c r="Q169" t="s">
        <v>615</v>
      </c>
      <c r="R169" t="s">
        <v>613</v>
      </c>
    </row>
    <row r="170" spans="1:18" x14ac:dyDescent="0.35">
      <c r="A170" t="s">
        <v>175</v>
      </c>
      <c r="B170" s="1">
        <v>45684</v>
      </c>
      <c r="C170" t="s">
        <v>375</v>
      </c>
      <c r="D170" t="s">
        <v>575</v>
      </c>
      <c r="E170">
        <v>5</v>
      </c>
      <c r="F170" s="6">
        <v>51000</v>
      </c>
      <c r="G170" s="6">
        <f t="shared" si="15"/>
        <v>255000</v>
      </c>
      <c r="H170" s="2">
        <v>0.1</v>
      </c>
      <c r="I170" s="6">
        <f t="shared" si="16"/>
        <v>25500</v>
      </c>
      <c r="J170" s="6">
        <f t="shared" si="20"/>
        <v>102000</v>
      </c>
      <c r="K170" s="6">
        <f t="shared" si="17"/>
        <v>331500</v>
      </c>
      <c r="L170" s="6">
        <f t="shared" si="18"/>
        <v>76500</v>
      </c>
      <c r="M170" s="6" t="str" cm="1">
        <f t="array" ref="M170">_xlfn.XLOOKUP(Orders!C170,Customers!A171:A370,Customers!G171:'Customers'!G370,"Not Found")</f>
        <v>Aryan Das</v>
      </c>
      <c r="N170" s="4" t="str">
        <f t="shared" si="19"/>
        <v>Wholesale</v>
      </c>
      <c r="O170" t="s">
        <v>1013</v>
      </c>
      <c r="P170" t="s">
        <v>1063</v>
      </c>
      <c r="Q170" t="s">
        <v>615</v>
      </c>
      <c r="R170" t="s">
        <v>613</v>
      </c>
    </row>
    <row r="171" spans="1:18" x14ac:dyDescent="0.35">
      <c r="A171" t="s">
        <v>176</v>
      </c>
      <c r="B171" s="1">
        <v>45684</v>
      </c>
      <c r="C171" t="s">
        <v>376</v>
      </c>
      <c r="D171" t="s">
        <v>576</v>
      </c>
      <c r="E171">
        <v>6</v>
      </c>
      <c r="F171" s="6">
        <v>52000</v>
      </c>
      <c r="G171" s="6">
        <f t="shared" si="15"/>
        <v>312000</v>
      </c>
      <c r="H171" s="2">
        <v>0.1</v>
      </c>
      <c r="I171" s="6">
        <f t="shared" si="16"/>
        <v>31200</v>
      </c>
      <c r="J171" s="6">
        <f t="shared" si="20"/>
        <v>124800</v>
      </c>
      <c r="K171" s="6">
        <f t="shared" si="17"/>
        <v>405600</v>
      </c>
      <c r="L171" s="6">
        <f t="shared" si="18"/>
        <v>93600</v>
      </c>
      <c r="M171" s="6" t="str" cm="1">
        <f t="array" ref="M171">_xlfn.XLOOKUP(Orders!C171,Customers!A172:A371,Customers!G172:'Customers'!G371,"Not Found")</f>
        <v>Kavya Arora</v>
      </c>
      <c r="N171" s="4" t="str">
        <f t="shared" si="19"/>
        <v>Wholesale</v>
      </c>
      <c r="O171" t="s">
        <v>1013</v>
      </c>
      <c r="P171" t="s">
        <v>1062</v>
      </c>
      <c r="Q171" t="s">
        <v>615</v>
      </c>
      <c r="R171" t="s">
        <v>613</v>
      </c>
    </row>
    <row r="172" spans="1:18" x14ac:dyDescent="0.35">
      <c r="A172" t="s">
        <v>177</v>
      </c>
      <c r="B172" s="1">
        <v>45684</v>
      </c>
      <c r="C172" t="s">
        <v>377</v>
      </c>
      <c r="D172" t="s">
        <v>577</v>
      </c>
      <c r="E172">
        <v>6</v>
      </c>
      <c r="F172" s="6">
        <v>53000</v>
      </c>
      <c r="G172" s="6">
        <f t="shared" si="15"/>
        <v>318000</v>
      </c>
      <c r="H172" s="2">
        <v>0.13</v>
      </c>
      <c r="I172" s="6">
        <f t="shared" si="16"/>
        <v>41340</v>
      </c>
      <c r="J172" s="6">
        <f t="shared" si="20"/>
        <v>127200</v>
      </c>
      <c r="K172" s="6">
        <f t="shared" si="17"/>
        <v>403860</v>
      </c>
      <c r="L172" s="6">
        <f t="shared" si="18"/>
        <v>85860</v>
      </c>
      <c r="M172" s="6" t="str" cm="1">
        <f t="array" ref="M172">_xlfn.XLOOKUP(Orders!C172,Customers!A173:A372,Customers!G173:'Customers'!G372,"Not Found")</f>
        <v>Yash Desai</v>
      </c>
      <c r="N172" s="4" t="str">
        <f t="shared" si="19"/>
        <v>Wholesale</v>
      </c>
      <c r="O172" t="s">
        <v>1013</v>
      </c>
      <c r="P172" t="s">
        <v>1093</v>
      </c>
      <c r="Q172" t="s">
        <v>615</v>
      </c>
      <c r="R172" t="s">
        <v>613</v>
      </c>
    </row>
    <row r="173" spans="1:18" x14ac:dyDescent="0.35">
      <c r="A173" t="s">
        <v>178</v>
      </c>
      <c r="B173" s="1">
        <v>45684</v>
      </c>
      <c r="C173" t="s">
        <v>378</v>
      </c>
      <c r="D173" t="s">
        <v>578</v>
      </c>
      <c r="E173">
        <v>7</v>
      </c>
      <c r="F173" s="6">
        <v>54000</v>
      </c>
      <c r="G173" s="6">
        <f t="shared" si="15"/>
        <v>378000</v>
      </c>
      <c r="H173" s="2">
        <v>0.08</v>
      </c>
      <c r="I173" s="6">
        <f t="shared" si="16"/>
        <v>30240</v>
      </c>
      <c r="J173" s="6">
        <f t="shared" si="20"/>
        <v>151200</v>
      </c>
      <c r="K173" s="6">
        <f t="shared" si="17"/>
        <v>498960</v>
      </c>
      <c r="L173" s="6">
        <f t="shared" si="18"/>
        <v>120960</v>
      </c>
      <c r="M173" s="6" t="str" cm="1">
        <f t="array" ref="M173">_xlfn.XLOOKUP(Orders!C173,Customers!A174:A373,Customers!G174:'Customers'!G373,"Not Found")</f>
        <v>Riya Thakur</v>
      </c>
      <c r="N173" s="4" t="str">
        <f t="shared" si="19"/>
        <v>Wholesale</v>
      </c>
      <c r="O173" t="s">
        <v>1013</v>
      </c>
      <c r="P173" t="s">
        <v>1094</v>
      </c>
      <c r="Q173" t="s">
        <v>615</v>
      </c>
      <c r="R173" t="s">
        <v>613</v>
      </c>
    </row>
    <row r="174" spans="1:18" x14ac:dyDescent="0.35">
      <c r="A174" t="s">
        <v>179</v>
      </c>
      <c r="B174" s="1">
        <v>45684</v>
      </c>
      <c r="C174" t="s">
        <v>379</v>
      </c>
      <c r="D174" t="s">
        <v>579</v>
      </c>
      <c r="E174">
        <v>6</v>
      </c>
      <c r="F174" s="6">
        <v>55000</v>
      </c>
      <c r="G174" s="6">
        <f t="shared" si="15"/>
        <v>330000</v>
      </c>
      <c r="H174" s="2">
        <v>0.04</v>
      </c>
      <c r="I174" s="6">
        <f t="shared" si="16"/>
        <v>13200</v>
      </c>
      <c r="J174" s="6">
        <f t="shared" si="20"/>
        <v>132000</v>
      </c>
      <c r="K174" s="6">
        <f t="shared" si="17"/>
        <v>448800</v>
      </c>
      <c r="L174" s="6">
        <f t="shared" si="18"/>
        <v>118800</v>
      </c>
      <c r="M174" s="6" t="str" cm="1">
        <f t="array" ref="M174">_xlfn.XLOOKUP(Orders!C174,Customers!A175:A374,Customers!G175:'Customers'!G374,"Not Found")</f>
        <v>Dev Kohli</v>
      </c>
      <c r="N174" s="4" t="str">
        <f t="shared" si="19"/>
        <v>Wholesale</v>
      </c>
      <c r="O174" t="s">
        <v>1023</v>
      </c>
      <c r="P174" t="s">
        <v>1082</v>
      </c>
      <c r="Q174" t="s">
        <v>615</v>
      </c>
      <c r="R174" t="s">
        <v>613</v>
      </c>
    </row>
    <row r="175" spans="1:18" x14ac:dyDescent="0.35">
      <c r="A175" t="s">
        <v>180</v>
      </c>
      <c r="B175" s="1">
        <v>45684</v>
      </c>
      <c r="C175" t="s">
        <v>380</v>
      </c>
      <c r="D175" t="s">
        <v>580</v>
      </c>
      <c r="E175">
        <v>5</v>
      </c>
      <c r="F175" s="6">
        <v>56000</v>
      </c>
      <c r="G175" s="6">
        <f t="shared" si="15"/>
        <v>280000</v>
      </c>
      <c r="H175" s="2">
        <v>0.05</v>
      </c>
      <c r="I175" s="6">
        <f t="shared" si="16"/>
        <v>14000</v>
      </c>
      <c r="J175" s="6">
        <f t="shared" si="20"/>
        <v>112000</v>
      </c>
      <c r="K175" s="6">
        <f t="shared" si="17"/>
        <v>378000</v>
      </c>
      <c r="L175" s="6">
        <f t="shared" si="18"/>
        <v>98000</v>
      </c>
      <c r="M175" s="6" t="str" cm="1">
        <f t="array" ref="M175">_xlfn.XLOOKUP(Orders!C175,Customers!A176:A375,Customers!G176:'Customers'!G375,"Not Found")</f>
        <v>Nishant Nagar</v>
      </c>
      <c r="N175" s="4" t="str">
        <f t="shared" si="19"/>
        <v>Wholesale</v>
      </c>
      <c r="O175" t="s">
        <v>1036</v>
      </c>
      <c r="P175" t="s">
        <v>1091</v>
      </c>
      <c r="Q175" t="s">
        <v>615</v>
      </c>
      <c r="R175" t="s">
        <v>613</v>
      </c>
    </row>
    <row r="176" spans="1:18" x14ac:dyDescent="0.35">
      <c r="A176" t="s">
        <v>181</v>
      </c>
      <c r="B176" s="1">
        <v>45684</v>
      </c>
      <c r="C176" t="s">
        <v>381</v>
      </c>
      <c r="D176" t="s">
        <v>581</v>
      </c>
      <c r="E176">
        <v>4</v>
      </c>
      <c r="F176" s="6">
        <v>57000</v>
      </c>
      <c r="G176" s="6">
        <f t="shared" si="15"/>
        <v>228000</v>
      </c>
      <c r="H176" s="2">
        <v>0.1</v>
      </c>
      <c r="I176" s="6">
        <f t="shared" si="16"/>
        <v>22800</v>
      </c>
      <c r="J176" s="6">
        <f t="shared" si="20"/>
        <v>91200</v>
      </c>
      <c r="K176" s="6">
        <f t="shared" si="17"/>
        <v>296400</v>
      </c>
      <c r="L176" s="6">
        <f t="shared" si="18"/>
        <v>68400</v>
      </c>
      <c r="M176" s="6" t="str" cm="1">
        <f t="array" ref="M176">_xlfn.XLOOKUP(Orders!C176,Customers!A177:A376,Customers!G177:'Customers'!G376,"Not Found")</f>
        <v>Siddharth Patel</v>
      </c>
      <c r="N176" s="4" t="str">
        <f t="shared" si="19"/>
        <v>Wholesale</v>
      </c>
      <c r="O176" t="s">
        <v>1013</v>
      </c>
      <c r="P176" t="s">
        <v>1083</v>
      </c>
      <c r="Q176" t="s">
        <v>615</v>
      </c>
      <c r="R176" t="s">
        <v>613</v>
      </c>
    </row>
    <row r="177" spans="1:18" x14ac:dyDescent="0.35">
      <c r="A177" t="s">
        <v>182</v>
      </c>
      <c r="B177" s="1">
        <v>45684</v>
      </c>
      <c r="C177" t="s">
        <v>382</v>
      </c>
      <c r="D177" t="s">
        <v>582</v>
      </c>
      <c r="E177">
        <v>3</v>
      </c>
      <c r="F177" s="6">
        <v>58000</v>
      </c>
      <c r="G177" s="6">
        <f t="shared" si="15"/>
        <v>174000</v>
      </c>
      <c r="H177" s="2">
        <v>0.12</v>
      </c>
      <c r="I177" s="6">
        <f t="shared" si="16"/>
        <v>20880</v>
      </c>
      <c r="J177" s="6">
        <f t="shared" si="20"/>
        <v>69600</v>
      </c>
      <c r="K177" s="6">
        <f t="shared" si="17"/>
        <v>222720</v>
      </c>
      <c r="L177" s="6">
        <f t="shared" si="18"/>
        <v>48720</v>
      </c>
      <c r="M177" s="6" t="str" cm="1">
        <f t="array" ref="M177">_xlfn.XLOOKUP(Orders!C177,Customers!A178:A377,Customers!G178:'Customers'!G377,"Not Found")</f>
        <v>Pooja Khanna</v>
      </c>
      <c r="N177" s="4" t="str">
        <f t="shared" si="19"/>
        <v>Wholesale</v>
      </c>
      <c r="O177" t="s">
        <v>1033</v>
      </c>
      <c r="P177" t="s">
        <v>1066</v>
      </c>
      <c r="Q177" t="s">
        <v>615</v>
      </c>
      <c r="R177" t="s">
        <v>613</v>
      </c>
    </row>
    <row r="178" spans="1:18" x14ac:dyDescent="0.35">
      <c r="A178" t="s">
        <v>183</v>
      </c>
      <c r="B178" s="1">
        <v>45685</v>
      </c>
      <c r="C178" t="s">
        <v>383</v>
      </c>
      <c r="D178" t="s">
        <v>583</v>
      </c>
      <c r="E178">
        <v>2</v>
      </c>
      <c r="F178" s="6">
        <v>59000</v>
      </c>
      <c r="G178" s="6">
        <f t="shared" si="15"/>
        <v>118000</v>
      </c>
      <c r="H178" s="2">
        <v>0.13</v>
      </c>
      <c r="I178" s="6">
        <f t="shared" si="16"/>
        <v>15340</v>
      </c>
      <c r="J178" s="6">
        <f t="shared" si="20"/>
        <v>47200</v>
      </c>
      <c r="K178" s="6">
        <f t="shared" si="17"/>
        <v>149860</v>
      </c>
      <c r="L178" s="6">
        <f t="shared" si="18"/>
        <v>31860</v>
      </c>
      <c r="M178" s="6" t="str" cm="1">
        <f t="array" ref="M178">_xlfn.XLOOKUP(Orders!C178,Customers!A179:A378,Customers!G179:'Customers'!G378,"Not Found")</f>
        <v>Varun Khanna</v>
      </c>
      <c r="N178" s="4" t="str">
        <f t="shared" si="19"/>
        <v>Wholesale</v>
      </c>
      <c r="O178" t="s">
        <v>1033</v>
      </c>
      <c r="P178" t="s">
        <v>1066</v>
      </c>
      <c r="Q178" t="s">
        <v>615</v>
      </c>
      <c r="R178" t="s">
        <v>613</v>
      </c>
    </row>
    <row r="179" spans="1:18" x14ac:dyDescent="0.35">
      <c r="A179" t="s">
        <v>184</v>
      </c>
      <c r="B179" s="1">
        <v>45685</v>
      </c>
      <c r="C179" t="s">
        <v>384</v>
      </c>
      <c r="D179" t="s">
        <v>584</v>
      </c>
      <c r="E179">
        <v>1</v>
      </c>
      <c r="F179" s="6">
        <v>60000</v>
      </c>
      <c r="G179" s="6">
        <f t="shared" si="15"/>
        <v>60000</v>
      </c>
      <c r="H179" s="2">
        <v>0.15</v>
      </c>
      <c r="I179" s="6">
        <f t="shared" si="16"/>
        <v>9000</v>
      </c>
      <c r="J179" s="6">
        <f t="shared" si="20"/>
        <v>24000</v>
      </c>
      <c r="K179" s="6">
        <f t="shared" si="17"/>
        <v>75000</v>
      </c>
      <c r="L179" s="6">
        <f t="shared" si="18"/>
        <v>15000</v>
      </c>
      <c r="M179" s="6" t="str" cm="1">
        <f t="array" ref="M179">_xlfn.XLOOKUP(Orders!C179,Customers!A180:A379,Customers!G180:'Customers'!G379,"Not Found")</f>
        <v>Simran Kulkarni</v>
      </c>
      <c r="N179" s="4" t="str">
        <f t="shared" si="19"/>
        <v>Large</v>
      </c>
      <c r="O179" t="s">
        <v>1013</v>
      </c>
      <c r="P179" t="s">
        <v>1114</v>
      </c>
      <c r="Q179" t="s">
        <v>615</v>
      </c>
      <c r="R179" t="s">
        <v>613</v>
      </c>
    </row>
    <row r="180" spans="1:18" x14ac:dyDescent="0.35">
      <c r="A180" t="s">
        <v>185</v>
      </c>
      <c r="B180" s="1">
        <v>45685</v>
      </c>
      <c r="C180" t="s">
        <v>385</v>
      </c>
      <c r="D180" t="s">
        <v>585</v>
      </c>
      <c r="E180">
        <v>2</v>
      </c>
      <c r="F180" s="6">
        <v>61000</v>
      </c>
      <c r="G180" s="6">
        <f t="shared" si="15"/>
        <v>122000</v>
      </c>
      <c r="H180" s="2">
        <v>0.2</v>
      </c>
      <c r="I180" s="6">
        <f t="shared" si="16"/>
        <v>24400</v>
      </c>
      <c r="J180" s="6">
        <f t="shared" si="20"/>
        <v>48800</v>
      </c>
      <c r="K180" s="6">
        <f t="shared" si="17"/>
        <v>146400</v>
      </c>
      <c r="L180" s="6">
        <f t="shared" si="18"/>
        <v>24400</v>
      </c>
      <c r="M180" s="6" t="str" cm="1">
        <f t="array" ref="M180">_xlfn.XLOOKUP(Orders!C180,Customers!A181:A380,Customers!G181:'Customers'!G380,"Not Found")</f>
        <v>Aniket Yadav</v>
      </c>
      <c r="N180" s="4" t="str">
        <f t="shared" si="19"/>
        <v>Wholesale</v>
      </c>
      <c r="O180" t="s">
        <v>1018</v>
      </c>
      <c r="P180" t="s">
        <v>1096</v>
      </c>
      <c r="Q180" t="s">
        <v>615</v>
      </c>
      <c r="R180" t="s">
        <v>613</v>
      </c>
    </row>
    <row r="181" spans="1:18" x14ac:dyDescent="0.35">
      <c r="A181" t="s">
        <v>186</v>
      </c>
      <c r="B181" s="1">
        <v>45685</v>
      </c>
      <c r="C181" t="s">
        <v>386</v>
      </c>
      <c r="D181" t="s">
        <v>586</v>
      </c>
      <c r="E181">
        <v>1</v>
      </c>
      <c r="F181" s="6">
        <v>62000</v>
      </c>
      <c r="G181" s="6">
        <f t="shared" si="15"/>
        <v>62000</v>
      </c>
      <c r="H181" s="2">
        <v>0.2</v>
      </c>
      <c r="I181" s="6">
        <f t="shared" si="16"/>
        <v>12400</v>
      </c>
      <c r="J181" s="6">
        <f t="shared" si="20"/>
        <v>24800</v>
      </c>
      <c r="K181" s="6">
        <f t="shared" si="17"/>
        <v>74400</v>
      </c>
      <c r="L181" s="6">
        <f t="shared" si="18"/>
        <v>12400</v>
      </c>
      <c r="M181" s="6" t="str" cm="1">
        <f t="array" ref="M181">_xlfn.XLOOKUP(Orders!C181,Customers!A182:A381,Customers!G182:'Customers'!G381,"Not Found")</f>
        <v>Tanvi Mathur</v>
      </c>
      <c r="N181" s="4" t="str">
        <f t="shared" si="19"/>
        <v>Large</v>
      </c>
      <c r="O181" t="s">
        <v>1036</v>
      </c>
      <c r="P181" t="s">
        <v>1097</v>
      </c>
      <c r="Q181" t="s">
        <v>615</v>
      </c>
      <c r="R181" t="s">
        <v>613</v>
      </c>
    </row>
    <row r="182" spans="1:18" x14ac:dyDescent="0.35">
      <c r="A182" t="s">
        <v>187</v>
      </c>
      <c r="B182" s="1">
        <v>45685</v>
      </c>
      <c r="C182" t="s">
        <v>387</v>
      </c>
      <c r="D182" t="s">
        <v>587</v>
      </c>
      <c r="E182">
        <v>1</v>
      </c>
      <c r="F182" s="6">
        <v>63000</v>
      </c>
      <c r="G182" s="6">
        <f t="shared" si="15"/>
        <v>63000</v>
      </c>
      <c r="H182" s="2">
        <v>0.1</v>
      </c>
      <c r="I182" s="6">
        <f t="shared" si="16"/>
        <v>6300</v>
      </c>
      <c r="J182" s="6">
        <f t="shared" si="20"/>
        <v>25200</v>
      </c>
      <c r="K182" s="6">
        <f t="shared" si="17"/>
        <v>81900</v>
      </c>
      <c r="L182" s="6">
        <f t="shared" si="18"/>
        <v>18900</v>
      </c>
      <c r="M182" s="6" t="str" cm="1">
        <f t="array" ref="M182">_xlfn.XLOOKUP(Orders!C182,Customers!A183:A382,Customers!G183:'Customers'!G382,"Not Found")</f>
        <v>Manav Gupta</v>
      </c>
      <c r="N182" s="4" t="str">
        <f t="shared" si="19"/>
        <v>Large</v>
      </c>
      <c r="O182" t="s">
        <v>1018</v>
      </c>
      <c r="P182" t="s">
        <v>1066</v>
      </c>
      <c r="Q182" t="s">
        <v>615</v>
      </c>
      <c r="R182" t="s">
        <v>613</v>
      </c>
    </row>
    <row r="183" spans="1:18" x14ac:dyDescent="0.35">
      <c r="A183" t="s">
        <v>188</v>
      </c>
      <c r="B183" s="1">
        <v>45685</v>
      </c>
      <c r="C183" t="s">
        <v>388</v>
      </c>
      <c r="D183" t="s">
        <v>588</v>
      </c>
      <c r="E183">
        <v>1</v>
      </c>
      <c r="F183" s="6">
        <v>64000</v>
      </c>
      <c r="G183" s="6">
        <f t="shared" si="15"/>
        <v>64000</v>
      </c>
      <c r="H183" s="2">
        <v>0.1</v>
      </c>
      <c r="I183" s="6">
        <f t="shared" si="16"/>
        <v>6400</v>
      </c>
      <c r="J183" s="6">
        <f t="shared" si="20"/>
        <v>25600</v>
      </c>
      <c r="K183" s="6">
        <f t="shared" si="17"/>
        <v>83200</v>
      </c>
      <c r="L183" s="6">
        <f t="shared" si="18"/>
        <v>19200</v>
      </c>
      <c r="M183" s="6" t="str" cm="1">
        <f t="array" ref="M183">_xlfn.XLOOKUP(Orders!C183,Customers!A184:A383,Customers!G184:'Customers'!G383,"Not Found")</f>
        <v>Shreya Iyer</v>
      </c>
      <c r="N183" s="4" t="str">
        <f t="shared" si="19"/>
        <v>Large</v>
      </c>
      <c r="O183" t="s">
        <v>1018</v>
      </c>
      <c r="P183" t="s">
        <v>1087</v>
      </c>
      <c r="Q183" t="s">
        <v>615</v>
      </c>
      <c r="R183" t="s">
        <v>613</v>
      </c>
    </row>
    <row r="184" spans="1:18" x14ac:dyDescent="0.35">
      <c r="A184" t="s">
        <v>189</v>
      </c>
      <c r="B184" s="1">
        <v>45685</v>
      </c>
      <c r="C184" t="s">
        <v>389</v>
      </c>
      <c r="D184" t="s">
        <v>589</v>
      </c>
      <c r="E184">
        <v>1</v>
      </c>
      <c r="F184" s="6">
        <v>65000</v>
      </c>
      <c r="G184" s="6">
        <f t="shared" si="15"/>
        <v>65000</v>
      </c>
      <c r="H184" s="2">
        <v>0.15</v>
      </c>
      <c r="I184" s="6">
        <f t="shared" si="16"/>
        <v>9750</v>
      </c>
      <c r="J184" s="6">
        <f t="shared" si="20"/>
        <v>26000</v>
      </c>
      <c r="K184" s="6">
        <f t="shared" si="17"/>
        <v>81250</v>
      </c>
      <c r="L184" s="6">
        <f t="shared" si="18"/>
        <v>16250</v>
      </c>
      <c r="M184" s="6" t="str" cm="1">
        <f t="array" ref="M184">_xlfn.XLOOKUP(Orders!C184,Customers!A185:A384,Customers!G185:'Customers'!G384,"Not Found")</f>
        <v>Vivaan Mishra</v>
      </c>
      <c r="N184" s="4" t="str">
        <f t="shared" si="19"/>
        <v>Large</v>
      </c>
      <c r="O184" t="s">
        <v>1018</v>
      </c>
      <c r="P184" t="s">
        <v>1088</v>
      </c>
      <c r="Q184" t="s">
        <v>615</v>
      </c>
      <c r="R184" t="s">
        <v>613</v>
      </c>
    </row>
    <row r="185" spans="1:18" x14ac:dyDescent="0.35">
      <c r="A185" t="s">
        <v>190</v>
      </c>
      <c r="B185" s="1">
        <v>45685</v>
      </c>
      <c r="C185" t="s">
        <v>390</v>
      </c>
      <c r="D185" t="s">
        <v>590</v>
      </c>
      <c r="E185">
        <v>1</v>
      </c>
      <c r="F185" s="6">
        <v>66000</v>
      </c>
      <c r="G185" s="6">
        <f t="shared" si="15"/>
        <v>66000</v>
      </c>
      <c r="H185" s="2">
        <v>0.25</v>
      </c>
      <c r="I185" s="6">
        <f t="shared" si="16"/>
        <v>16500</v>
      </c>
      <c r="J185" s="6">
        <f t="shared" si="20"/>
        <v>26400</v>
      </c>
      <c r="K185" s="6">
        <f t="shared" si="17"/>
        <v>75900</v>
      </c>
      <c r="L185" s="6">
        <f t="shared" si="18"/>
        <v>9900</v>
      </c>
      <c r="M185" s="6" t="str" cm="1">
        <f t="array" ref="M185">_xlfn.XLOOKUP(Orders!C185,Customers!A186:A385,Customers!G186:'Customers'!G385,"Not Found")</f>
        <v>Avni Pandey</v>
      </c>
      <c r="N185" s="4" t="str">
        <f t="shared" si="19"/>
        <v>Large</v>
      </c>
      <c r="O185" t="s">
        <v>1018</v>
      </c>
      <c r="P185" t="s">
        <v>1084</v>
      </c>
      <c r="Q185" t="s">
        <v>609</v>
      </c>
      <c r="R185" t="s">
        <v>613</v>
      </c>
    </row>
    <row r="186" spans="1:18" x14ac:dyDescent="0.35">
      <c r="A186" t="s">
        <v>191</v>
      </c>
      <c r="B186" s="1">
        <v>45685</v>
      </c>
      <c r="C186" t="s">
        <v>391</v>
      </c>
      <c r="D186" t="s">
        <v>591</v>
      </c>
      <c r="E186">
        <v>1</v>
      </c>
      <c r="F186" s="6">
        <v>67000</v>
      </c>
      <c r="G186" s="6">
        <f t="shared" si="15"/>
        <v>67000</v>
      </c>
      <c r="H186" s="2">
        <v>0.1</v>
      </c>
      <c r="I186" s="6">
        <f t="shared" si="16"/>
        <v>6700</v>
      </c>
      <c r="J186" s="6">
        <f t="shared" si="20"/>
        <v>26800</v>
      </c>
      <c r="K186" s="6">
        <f t="shared" si="17"/>
        <v>87100</v>
      </c>
      <c r="L186" s="6">
        <f t="shared" si="18"/>
        <v>20100</v>
      </c>
      <c r="M186" s="6" t="str" cm="1">
        <f t="array" ref="M186">_xlfn.XLOOKUP(Orders!C186,Customers!A187:A386,Customers!G187:'Customers'!G386,"Not Found")</f>
        <v>Reyansh Srivastava</v>
      </c>
      <c r="N186" s="4" t="str">
        <f t="shared" si="19"/>
        <v>Large</v>
      </c>
      <c r="O186" t="s">
        <v>1018</v>
      </c>
      <c r="P186" t="s">
        <v>1086</v>
      </c>
      <c r="Q186" t="s">
        <v>609</v>
      </c>
      <c r="R186" t="s">
        <v>613</v>
      </c>
    </row>
    <row r="187" spans="1:18" x14ac:dyDescent="0.35">
      <c r="A187" t="s">
        <v>192</v>
      </c>
      <c r="B187" s="1">
        <v>45686</v>
      </c>
      <c r="C187" t="s">
        <v>392</v>
      </c>
      <c r="D187" t="s">
        <v>592</v>
      </c>
      <c r="E187">
        <v>1</v>
      </c>
      <c r="F187" s="6">
        <v>68000</v>
      </c>
      <c r="G187" s="6">
        <f t="shared" si="15"/>
        <v>68000</v>
      </c>
      <c r="H187" s="2">
        <v>0.1</v>
      </c>
      <c r="I187" s="6">
        <f t="shared" si="16"/>
        <v>6800</v>
      </c>
      <c r="J187" s="6">
        <f t="shared" si="20"/>
        <v>27200</v>
      </c>
      <c r="K187" s="6">
        <f t="shared" si="17"/>
        <v>88400</v>
      </c>
      <c r="L187" s="6">
        <f t="shared" si="18"/>
        <v>20400</v>
      </c>
      <c r="M187" s="6" t="str" cm="1">
        <f t="array" ref="M187">_xlfn.XLOOKUP(Orders!C187,Customers!A188:A387,Customers!G188:'Customers'!G387,"Not Found")</f>
        <v>Myra Dutta</v>
      </c>
      <c r="N187" s="4" t="str">
        <f t="shared" si="19"/>
        <v>Large</v>
      </c>
      <c r="O187" t="s">
        <v>1018</v>
      </c>
      <c r="P187" t="s">
        <v>1093</v>
      </c>
      <c r="Q187" t="s">
        <v>609</v>
      </c>
      <c r="R187" t="s">
        <v>613</v>
      </c>
    </row>
    <row r="188" spans="1:18" x14ac:dyDescent="0.35">
      <c r="A188" t="s">
        <v>193</v>
      </c>
      <c r="B188" s="1">
        <v>45686</v>
      </c>
      <c r="C188" t="s">
        <v>393</v>
      </c>
      <c r="D188" t="s">
        <v>593</v>
      </c>
      <c r="E188">
        <v>1</v>
      </c>
      <c r="F188" s="6">
        <v>69000</v>
      </c>
      <c r="G188" s="6">
        <f t="shared" si="15"/>
        <v>69000</v>
      </c>
      <c r="H188" s="2">
        <v>0.05</v>
      </c>
      <c r="I188" s="6">
        <f t="shared" si="16"/>
        <v>3450</v>
      </c>
      <c r="J188" s="6">
        <f t="shared" si="20"/>
        <v>27600</v>
      </c>
      <c r="K188" s="6">
        <f t="shared" si="17"/>
        <v>93150</v>
      </c>
      <c r="L188" s="6">
        <f t="shared" si="18"/>
        <v>24150</v>
      </c>
      <c r="M188" s="6" t="str" cm="1">
        <f t="array" ref="M188">_xlfn.XLOOKUP(Orders!C188,Customers!A189:A388,Customers!G189:'Customers'!G388,"Not Found")</f>
        <v>Krish Sood</v>
      </c>
      <c r="N188" s="4" t="str">
        <f t="shared" si="19"/>
        <v>Large</v>
      </c>
      <c r="O188" t="s">
        <v>1018</v>
      </c>
      <c r="P188" t="s">
        <v>1051</v>
      </c>
      <c r="Q188" t="s">
        <v>609</v>
      </c>
      <c r="R188" t="s">
        <v>613</v>
      </c>
    </row>
    <row r="189" spans="1:18" x14ac:dyDescent="0.35">
      <c r="A189" t="s">
        <v>194</v>
      </c>
      <c r="B189" s="1">
        <v>45686</v>
      </c>
      <c r="C189" t="s">
        <v>394</v>
      </c>
      <c r="D189" t="s">
        <v>594</v>
      </c>
      <c r="E189">
        <v>1</v>
      </c>
      <c r="F189" s="6">
        <v>70000</v>
      </c>
      <c r="G189" s="6">
        <f t="shared" si="15"/>
        <v>70000</v>
      </c>
      <c r="H189" s="2">
        <v>0.1</v>
      </c>
      <c r="I189" s="6">
        <f t="shared" si="16"/>
        <v>7000</v>
      </c>
      <c r="J189" s="6">
        <f t="shared" si="20"/>
        <v>28000</v>
      </c>
      <c r="K189" s="6">
        <f t="shared" si="17"/>
        <v>91000</v>
      </c>
      <c r="L189" s="6">
        <f t="shared" si="18"/>
        <v>21000</v>
      </c>
      <c r="M189" s="6" t="str" cm="1">
        <f t="array" ref="M189">_xlfn.XLOOKUP(Orders!C189,Customers!A190:A389,Customers!G190:'Customers'!G389,"Not Found")</f>
        <v>Kiara Verma</v>
      </c>
      <c r="N189" s="4" t="str">
        <f t="shared" si="19"/>
        <v>Large</v>
      </c>
      <c r="O189" t="s">
        <v>1024</v>
      </c>
      <c r="P189" t="s">
        <v>1090</v>
      </c>
      <c r="Q189" t="s">
        <v>615</v>
      </c>
      <c r="R189" t="s">
        <v>613</v>
      </c>
    </row>
    <row r="190" spans="1:18" x14ac:dyDescent="0.35">
      <c r="A190" t="s">
        <v>195</v>
      </c>
      <c r="B190" s="1">
        <v>45686</v>
      </c>
      <c r="C190" t="s">
        <v>395</v>
      </c>
      <c r="D190" t="s">
        <v>595</v>
      </c>
      <c r="E190">
        <v>1</v>
      </c>
      <c r="F190" s="6">
        <v>71000</v>
      </c>
      <c r="G190" s="6">
        <f t="shared" si="15"/>
        <v>71000</v>
      </c>
      <c r="H190" s="2">
        <v>0.05</v>
      </c>
      <c r="I190" s="6">
        <f t="shared" si="16"/>
        <v>3550</v>
      </c>
      <c r="J190" s="6">
        <f t="shared" si="20"/>
        <v>28400</v>
      </c>
      <c r="K190" s="6">
        <f t="shared" si="17"/>
        <v>95850</v>
      </c>
      <c r="L190" s="6">
        <f t="shared" si="18"/>
        <v>24850</v>
      </c>
      <c r="M190" s="6" t="str" cm="1">
        <f t="array" ref="M190">_xlfn.XLOOKUP(Orders!C190,Customers!A191:A390,Customers!G191:'Customers'!G390,"Not Found")</f>
        <v>Atharv Agarwal</v>
      </c>
      <c r="N190" s="4" t="str">
        <f t="shared" si="19"/>
        <v>Large</v>
      </c>
      <c r="O190" t="s">
        <v>1023</v>
      </c>
      <c r="P190" t="s">
        <v>1089</v>
      </c>
      <c r="Q190" t="s">
        <v>615</v>
      </c>
      <c r="R190" t="s">
        <v>613</v>
      </c>
    </row>
    <row r="191" spans="1:18" x14ac:dyDescent="0.35">
      <c r="A191" t="s">
        <v>196</v>
      </c>
      <c r="B191" s="1">
        <v>45686</v>
      </c>
      <c r="C191" t="s">
        <v>396</v>
      </c>
      <c r="D191" t="s">
        <v>596</v>
      </c>
      <c r="E191">
        <v>1</v>
      </c>
      <c r="F191" s="6">
        <v>72000</v>
      </c>
      <c r="G191" s="6">
        <f t="shared" si="15"/>
        <v>72000</v>
      </c>
      <c r="H191" s="2">
        <v>0.12</v>
      </c>
      <c r="I191" s="6">
        <f t="shared" si="16"/>
        <v>8640</v>
      </c>
      <c r="J191" s="6">
        <f t="shared" si="20"/>
        <v>28800</v>
      </c>
      <c r="K191" s="6">
        <f t="shared" si="17"/>
        <v>92160</v>
      </c>
      <c r="L191" s="6">
        <f t="shared" si="18"/>
        <v>20160</v>
      </c>
      <c r="M191" s="6" t="str" cm="1">
        <f t="array" ref="M191">_xlfn.XLOOKUP(Orders!C191,Customers!A192:A391,Customers!G192:'Customers'!G391,"Not Found")</f>
        <v>Anika Saxena</v>
      </c>
      <c r="N191" s="4" t="str">
        <f t="shared" si="19"/>
        <v>Large</v>
      </c>
      <c r="O191" t="s">
        <v>1013</v>
      </c>
      <c r="P191" t="s">
        <v>1062</v>
      </c>
      <c r="Q191" t="s">
        <v>615</v>
      </c>
      <c r="R191" t="s">
        <v>613</v>
      </c>
    </row>
    <row r="192" spans="1:18" x14ac:dyDescent="0.35">
      <c r="A192" t="s">
        <v>197</v>
      </c>
      <c r="B192" s="1">
        <v>45686</v>
      </c>
      <c r="C192" t="s">
        <v>397</v>
      </c>
      <c r="D192" t="s">
        <v>597</v>
      </c>
      <c r="E192">
        <v>1</v>
      </c>
      <c r="F192" s="6">
        <v>73000</v>
      </c>
      <c r="G192" s="6">
        <f t="shared" si="15"/>
        <v>73000</v>
      </c>
      <c r="H192" s="2">
        <v>0.15</v>
      </c>
      <c r="I192" s="6">
        <f t="shared" si="16"/>
        <v>10950</v>
      </c>
      <c r="J192" s="6">
        <f t="shared" si="20"/>
        <v>29200</v>
      </c>
      <c r="K192" s="6">
        <f t="shared" si="17"/>
        <v>91250</v>
      </c>
      <c r="L192" s="6">
        <f t="shared" si="18"/>
        <v>18250</v>
      </c>
      <c r="M192" s="6" t="str" cm="1">
        <f t="array" ref="M192">_xlfn.XLOOKUP(Orders!C192,Customers!A193:A392,Customers!G193:'Customers'!G392,"Not Found")</f>
        <v>Dhruv Tiwari</v>
      </c>
      <c r="N192" s="4" t="str">
        <f t="shared" si="19"/>
        <v>Large</v>
      </c>
      <c r="O192" t="s">
        <v>1013</v>
      </c>
      <c r="P192" t="s">
        <v>1091</v>
      </c>
      <c r="Q192" t="s">
        <v>615</v>
      </c>
      <c r="R192" t="s">
        <v>613</v>
      </c>
    </row>
    <row r="193" spans="1:18" x14ac:dyDescent="0.35">
      <c r="A193" t="s">
        <v>198</v>
      </c>
      <c r="B193" s="1">
        <v>45686</v>
      </c>
      <c r="C193" t="s">
        <v>398</v>
      </c>
      <c r="D193" t="s">
        <v>598</v>
      </c>
      <c r="E193">
        <v>1</v>
      </c>
      <c r="F193" s="6">
        <v>74000</v>
      </c>
      <c r="G193" s="6">
        <f t="shared" si="15"/>
        <v>74000</v>
      </c>
      <c r="H193" s="2">
        <v>0.12</v>
      </c>
      <c r="I193" s="6">
        <f t="shared" si="16"/>
        <v>8880</v>
      </c>
      <c r="J193" s="6">
        <f t="shared" si="20"/>
        <v>29600</v>
      </c>
      <c r="K193" s="6">
        <f t="shared" si="17"/>
        <v>94720</v>
      </c>
      <c r="L193" s="6">
        <f t="shared" si="18"/>
        <v>20720</v>
      </c>
      <c r="M193" s="6" t="str" cm="1">
        <f t="array" ref="M193">_xlfn.XLOOKUP(Orders!C193,Customers!A194:A393,Customers!G194:'Customers'!G393,"Not Found")</f>
        <v>Saanvi Sinha</v>
      </c>
      <c r="N193" s="4" t="str">
        <f t="shared" si="19"/>
        <v>Large</v>
      </c>
      <c r="O193" t="s">
        <v>1013</v>
      </c>
      <c r="P193" t="s">
        <v>1061</v>
      </c>
      <c r="Q193" t="s">
        <v>615</v>
      </c>
      <c r="R193" t="s">
        <v>613</v>
      </c>
    </row>
    <row r="194" spans="1:18" x14ac:dyDescent="0.35">
      <c r="A194" t="s">
        <v>199</v>
      </c>
      <c r="B194" s="1">
        <v>45687</v>
      </c>
      <c r="C194" t="s">
        <v>399</v>
      </c>
      <c r="D194" t="s">
        <v>599</v>
      </c>
      <c r="E194">
        <v>1</v>
      </c>
      <c r="F194" s="6">
        <v>75000</v>
      </c>
      <c r="G194" s="6">
        <f t="shared" si="15"/>
        <v>75000</v>
      </c>
      <c r="H194" s="2">
        <v>0.15</v>
      </c>
      <c r="I194" s="6">
        <f t="shared" si="16"/>
        <v>11250</v>
      </c>
      <c r="J194" s="6">
        <f t="shared" si="20"/>
        <v>30000</v>
      </c>
      <c r="K194" s="6">
        <f t="shared" si="17"/>
        <v>93750</v>
      </c>
      <c r="L194" s="6">
        <f t="shared" si="18"/>
        <v>18750</v>
      </c>
      <c r="M194" s="6" t="str" cm="1">
        <f t="array" ref="M194">_xlfn.XLOOKUP(Orders!C194,Customers!A195:A394,Customers!G195:'Customers'!G394,"Not Found")</f>
        <v>Rudra Banerjee</v>
      </c>
      <c r="N194" s="4" t="str">
        <f t="shared" si="19"/>
        <v>Large</v>
      </c>
      <c r="O194" t="s">
        <v>1013</v>
      </c>
      <c r="P194" t="s">
        <v>1063</v>
      </c>
      <c r="Q194" t="s">
        <v>615</v>
      </c>
      <c r="R194" t="s">
        <v>613</v>
      </c>
    </row>
    <row r="195" spans="1:18" x14ac:dyDescent="0.35">
      <c r="A195" t="s">
        <v>200</v>
      </c>
      <c r="B195" s="1">
        <v>45687</v>
      </c>
      <c r="C195" t="s">
        <v>400</v>
      </c>
      <c r="D195" t="s">
        <v>600</v>
      </c>
      <c r="E195">
        <v>1</v>
      </c>
      <c r="F195" s="6">
        <v>76000</v>
      </c>
      <c r="G195" s="6">
        <f t="shared" si="15"/>
        <v>76000</v>
      </c>
      <c r="H195" s="2">
        <v>0.15</v>
      </c>
      <c r="I195" s="6">
        <f t="shared" si="16"/>
        <v>11400</v>
      </c>
      <c r="J195" s="6">
        <f t="shared" si="20"/>
        <v>30400</v>
      </c>
      <c r="K195" s="6">
        <f t="shared" si="17"/>
        <v>95000</v>
      </c>
      <c r="L195" s="6">
        <f t="shared" si="18"/>
        <v>19000</v>
      </c>
      <c r="M195" s="6" t="str" cm="1">
        <f t="array" ref="M195">_xlfn.XLOOKUP(Orders!C195,Customers!A196:A395,Customers!G196:'Customers'!G395,"Not Found")</f>
        <v>Navya Vohra</v>
      </c>
      <c r="N195" s="4" t="str">
        <f t="shared" si="19"/>
        <v>Large</v>
      </c>
      <c r="O195" t="s">
        <v>1013</v>
      </c>
      <c r="P195" t="s">
        <v>1098</v>
      </c>
      <c r="Q195" t="s">
        <v>615</v>
      </c>
      <c r="R195" t="s">
        <v>613</v>
      </c>
    </row>
    <row r="196" spans="1:18" x14ac:dyDescent="0.35">
      <c r="A196" t="s">
        <v>201</v>
      </c>
      <c r="B196" s="1">
        <v>45687</v>
      </c>
      <c r="C196" t="s">
        <v>401</v>
      </c>
      <c r="D196" t="s">
        <v>601</v>
      </c>
      <c r="E196">
        <v>1</v>
      </c>
      <c r="F196" s="6">
        <v>77000</v>
      </c>
      <c r="G196" s="6">
        <f t="shared" si="15"/>
        <v>77000</v>
      </c>
      <c r="H196" s="2">
        <v>0.156</v>
      </c>
      <c r="I196" s="6">
        <f t="shared" si="16"/>
        <v>12012</v>
      </c>
      <c r="J196" s="6">
        <f t="shared" ref="J196:J203" si="21">G196*0.4</f>
        <v>30800</v>
      </c>
      <c r="K196" s="6">
        <f t="shared" si="17"/>
        <v>95788</v>
      </c>
      <c r="L196" s="6">
        <f t="shared" si="18"/>
        <v>18788</v>
      </c>
      <c r="M196" s="6" t="str" cm="1">
        <f t="array" ref="M196">_xlfn.XLOOKUP(Orders!C196,Customers!A197:A396,Customers!G197:'Customers'!G396,"Not Found")</f>
        <v>Ayush Sharma</v>
      </c>
      <c r="N196" s="4" t="str">
        <f t="shared" si="19"/>
        <v>Large</v>
      </c>
      <c r="O196" t="s">
        <v>1013</v>
      </c>
      <c r="P196" t="s">
        <v>1062</v>
      </c>
      <c r="Q196" t="s">
        <v>615</v>
      </c>
      <c r="R196" t="s">
        <v>613</v>
      </c>
    </row>
    <row r="197" spans="1:18" x14ac:dyDescent="0.35">
      <c r="A197" t="s">
        <v>202</v>
      </c>
      <c r="B197" s="1">
        <v>45687</v>
      </c>
      <c r="C197" t="s">
        <v>402</v>
      </c>
      <c r="D197" t="s">
        <v>602</v>
      </c>
      <c r="E197">
        <v>1</v>
      </c>
      <c r="F197" s="6">
        <v>78000</v>
      </c>
      <c r="G197" s="6">
        <f t="shared" ref="G197:G203" si="22">E197*F197</f>
        <v>78000</v>
      </c>
      <c r="H197" s="2">
        <v>0.16200000000000001</v>
      </c>
      <c r="I197" s="6">
        <f t="shared" ref="I197:I203" si="23">G197*H197</f>
        <v>12636</v>
      </c>
      <c r="J197" s="6">
        <f t="shared" si="21"/>
        <v>31200</v>
      </c>
      <c r="K197" s="6">
        <f t="shared" ref="K197:K203" si="24">G197+J197-I197</f>
        <v>96564</v>
      </c>
      <c r="L197" s="6">
        <f t="shared" ref="L197:L203" si="25">K197-G197</f>
        <v>18564</v>
      </c>
      <c r="M197" s="6" t="str" cm="1">
        <f t="array" ref="M197">_xlfn.XLOOKUP(Orders!C197,Customers!A198:A397,Customers!G198:'Customers'!G397,"Not Found")</f>
        <v>Tanya Bansal</v>
      </c>
      <c r="N197" s="4" t="str">
        <f t="shared" ref="N197:N203" si="26">IF(K197&lt;5000,"Micro",IF(K197&lt;10000,"Small",IF(K197&lt;=30000,"Medium",IF(K197&lt;=100000,"Large",IF(K197&lt;=125000,"Industrial","Wholesale")))))</f>
        <v>Large</v>
      </c>
      <c r="O197" t="s">
        <v>1013</v>
      </c>
      <c r="P197" t="s">
        <v>1070</v>
      </c>
      <c r="Q197" t="s">
        <v>615</v>
      </c>
      <c r="R197" t="s">
        <v>613</v>
      </c>
    </row>
    <row r="198" spans="1:18" x14ac:dyDescent="0.35">
      <c r="A198" t="s">
        <v>203</v>
      </c>
      <c r="B198" s="1">
        <v>45687</v>
      </c>
      <c r="C198" t="s">
        <v>403</v>
      </c>
      <c r="D198" t="s">
        <v>603</v>
      </c>
      <c r="E198">
        <v>1</v>
      </c>
      <c r="F198" s="6">
        <v>79000</v>
      </c>
      <c r="G198" s="6">
        <f t="shared" si="22"/>
        <v>79000</v>
      </c>
      <c r="H198" s="2">
        <v>0.16800000000000001</v>
      </c>
      <c r="I198" s="6">
        <f t="shared" si="23"/>
        <v>13272</v>
      </c>
      <c r="J198" s="6">
        <f t="shared" si="21"/>
        <v>31600</v>
      </c>
      <c r="K198" s="6">
        <f t="shared" si="24"/>
        <v>97328</v>
      </c>
      <c r="L198" s="6">
        <f t="shared" si="25"/>
        <v>18328</v>
      </c>
      <c r="M198" s="6" t="str" cm="1">
        <f t="array" ref="M198">_xlfn.XLOOKUP(Orders!C198,Customers!A199:A398,Customers!G199:'Customers'!G398,"Not Found")</f>
        <v>Arnav Chopra</v>
      </c>
      <c r="N198" s="4" t="str">
        <f t="shared" si="26"/>
        <v>Large</v>
      </c>
      <c r="O198" t="s">
        <v>1013</v>
      </c>
      <c r="P198" t="s">
        <v>1066</v>
      </c>
      <c r="Q198" t="s">
        <v>615</v>
      </c>
      <c r="R198" t="s">
        <v>613</v>
      </c>
    </row>
    <row r="199" spans="1:18" x14ac:dyDescent="0.35">
      <c r="A199" t="s">
        <v>204</v>
      </c>
      <c r="B199" s="1">
        <v>45687</v>
      </c>
      <c r="C199" t="s">
        <v>404</v>
      </c>
      <c r="D199" t="s">
        <v>604</v>
      </c>
      <c r="E199">
        <v>1</v>
      </c>
      <c r="F199" s="6">
        <v>80000</v>
      </c>
      <c r="G199" s="6">
        <f t="shared" si="22"/>
        <v>80000</v>
      </c>
      <c r="H199" s="2">
        <v>0.17399999999999999</v>
      </c>
      <c r="I199" s="6">
        <f t="shared" si="23"/>
        <v>13919.999999999998</v>
      </c>
      <c r="J199" s="6">
        <f t="shared" si="21"/>
        <v>32000</v>
      </c>
      <c r="K199" s="6">
        <f t="shared" si="24"/>
        <v>98080</v>
      </c>
      <c r="L199" s="6">
        <f t="shared" si="25"/>
        <v>18080</v>
      </c>
      <c r="M199" s="6" t="str" cm="1">
        <f t="array" ref="M199">_xlfn.XLOOKUP(Orders!C199,Customers!A200:A399,Customers!G200:'Customers'!G399,"Not Found")</f>
        <v>Ira Sethi</v>
      </c>
      <c r="N199" s="4" t="str">
        <f t="shared" si="26"/>
        <v>Large</v>
      </c>
      <c r="O199" t="s">
        <v>1013</v>
      </c>
      <c r="P199" t="s">
        <v>1070</v>
      </c>
      <c r="Q199" t="s">
        <v>609</v>
      </c>
      <c r="R199" t="s">
        <v>613</v>
      </c>
    </row>
    <row r="200" spans="1:18" x14ac:dyDescent="0.35">
      <c r="A200" t="s">
        <v>205</v>
      </c>
      <c r="B200" s="1">
        <v>45688</v>
      </c>
      <c r="C200" t="s">
        <v>405</v>
      </c>
      <c r="D200" t="s">
        <v>605</v>
      </c>
      <c r="E200">
        <v>1</v>
      </c>
      <c r="F200" s="6">
        <v>81000</v>
      </c>
      <c r="G200" s="6">
        <f t="shared" si="22"/>
        <v>81000</v>
      </c>
      <c r="H200" s="2">
        <v>0.18</v>
      </c>
      <c r="I200" s="6">
        <f t="shared" si="23"/>
        <v>14580</v>
      </c>
      <c r="J200" s="6">
        <f t="shared" si="21"/>
        <v>32400</v>
      </c>
      <c r="K200" s="6">
        <f t="shared" si="24"/>
        <v>98820</v>
      </c>
      <c r="L200" s="6">
        <f t="shared" si="25"/>
        <v>17820</v>
      </c>
      <c r="M200" s="6" t="str" cm="1">
        <f t="array" ref="M200">_xlfn.XLOOKUP(Orders!C200,Customers!A201:A400,Customers!G201:'Customers'!G400,"Not Found")</f>
        <v>Shaurya Jain</v>
      </c>
      <c r="N200" s="4" t="str">
        <f t="shared" si="26"/>
        <v>Large</v>
      </c>
      <c r="O200" t="s">
        <v>1013</v>
      </c>
      <c r="P200" t="s">
        <v>1066</v>
      </c>
      <c r="Q200" t="s">
        <v>615</v>
      </c>
      <c r="R200" t="s">
        <v>613</v>
      </c>
    </row>
    <row r="201" spans="1:18" x14ac:dyDescent="0.35">
      <c r="A201" t="s">
        <v>206</v>
      </c>
      <c r="B201" s="1">
        <v>45688</v>
      </c>
      <c r="C201" t="s">
        <v>406</v>
      </c>
      <c r="D201" t="s">
        <v>606</v>
      </c>
      <c r="E201">
        <v>1</v>
      </c>
      <c r="F201" s="6">
        <v>82000</v>
      </c>
      <c r="G201" s="6">
        <f t="shared" si="22"/>
        <v>82000</v>
      </c>
      <c r="H201" s="2">
        <v>0.186</v>
      </c>
      <c r="I201" s="6">
        <f t="shared" si="23"/>
        <v>15252</v>
      </c>
      <c r="J201" s="6">
        <f t="shared" si="21"/>
        <v>32800</v>
      </c>
      <c r="K201" s="6">
        <f t="shared" si="24"/>
        <v>99548</v>
      </c>
      <c r="L201" s="6">
        <f t="shared" si="25"/>
        <v>17548</v>
      </c>
      <c r="M201" s="6" t="str" cm="1">
        <f t="array" ref="M201">_xlfn.XLOOKUP(Orders!C201,Customers!A202:A401,Customers!G202:'Customers'!G401,"Not Found")</f>
        <v>Mahi Mukherjee</v>
      </c>
      <c r="N201" s="4" t="str">
        <f t="shared" si="26"/>
        <v>Large</v>
      </c>
      <c r="O201" t="s">
        <v>1013</v>
      </c>
      <c r="P201" t="s">
        <v>1062</v>
      </c>
      <c r="Q201" t="s">
        <v>615</v>
      </c>
      <c r="R201" t="s">
        <v>613</v>
      </c>
    </row>
    <row r="202" spans="1:18" x14ac:dyDescent="0.35">
      <c r="A202" t="s">
        <v>207</v>
      </c>
      <c r="B202" s="1">
        <v>45688</v>
      </c>
      <c r="C202" t="s">
        <v>407</v>
      </c>
      <c r="D202" t="s">
        <v>607</v>
      </c>
      <c r="E202">
        <v>1</v>
      </c>
      <c r="F202" s="6">
        <v>83000</v>
      </c>
      <c r="G202" s="6">
        <f t="shared" si="22"/>
        <v>83000</v>
      </c>
      <c r="H202" s="2">
        <v>0.192</v>
      </c>
      <c r="I202" s="6">
        <f t="shared" si="23"/>
        <v>15936</v>
      </c>
      <c r="J202" s="6">
        <f t="shared" si="21"/>
        <v>33200</v>
      </c>
      <c r="K202" s="6">
        <f t="shared" si="24"/>
        <v>100264</v>
      </c>
      <c r="L202" s="6">
        <f t="shared" si="25"/>
        <v>17264</v>
      </c>
      <c r="M202" s="6" t="str" cm="1">
        <f t="array" ref="M202">_xlfn.XLOOKUP(Orders!C202,Customers!A203:A402,Customers!G203:'Customers'!G402,"Not Found")</f>
        <v>Parth Dubey</v>
      </c>
      <c r="N202" s="4" t="str">
        <f t="shared" si="26"/>
        <v>Industrial</v>
      </c>
      <c r="O202" t="s">
        <v>1013</v>
      </c>
      <c r="P202" t="s">
        <v>1062</v>
      </c>
      <c r="Q202" t="s">
        <v>615</v>
      </c>
      <c r="R202" t="s">
        <v>613</v>
      </c>
    </row>
    <row r="203" spans="1:18" x14ac:dyDescent="0.35">
      <c r="A203" t="s">
        <v>208</v>
      </c>
      <c r="B203" s="1">
        <v>45688</v>
      </c>
      <c r="C203" t="s">
        <v>408</v>
      </c>
      <c r="D203" t="s">
        <v>608</v>
      </c>
      <c r="E203">
        <v>1</v>
      </c>
      <c r="F203" s="6">
        <v>84000</v>
      </c>
      <c r="G203" s="6">
        <f t="shared" si="22"/>
        <v>84000</v>
      </c>
      <c r="H203" s="2">
        <v>0.01</v>
      </c>
      <c r="I203" s="6">
        <f t="shared" si="23"/>
        <v>840</v>
      </c>
      <c r="J203" s="6">
        <f t="shared" si="21"/>
        <v>33600</v>
      </c>
      <c r="K203" s="6">
        <f t="shared" si="24"/>
        <v>116760</v>
      </c>
      <c r="L203" s="6">
        <f t="shared" si="25"/>
        <v>32760</v>
      </c>
      <c r="M203" s="6" t="str" cm="1">
        <f t="array" ref="M203">_xlfn.XLOOKUP(Orders!C203,Customers!A204:A403,Customers!G204:'Customers'!G403,"Not Found")</f>
        <v>Aanya Naidu</v>
      </c>
      <c r="N203" s="4" t="str">
        <f t="shared" si="26"/>
        <v>Industrial</v>
      </c>
      <c r="O203" t="s">
        <v>1013</v>
      </c>
      <c r="P203" t="s">
        <v>1083</v>
      </c>
      <c r="Q203" t="s">
        <v>615</v>
      </c>
      <c r="R203" t="s">
        <v>613</v>
      </c>
    </row>
    <row r="204" spans="1:18" x14ac:dyDescent="0.35">
      <c r="B204" s="1"/>
      <c r="E204">
        <f>SUM(E4:E203)</f>
        <v>1132</v>
      </c>
      <c r="F204" s="6">
        <f>SUM(F4:F203)</f>
        <v>5475232</v>
      </c>
      <c r="G204" s="6">
        <f>SUM(G4:G203)</f>
        <v>17142340</v>
      </c>
      <c r="H204" s="2"/>
      <c r="I204" s="6">
        <f>SUM(I4:I203)</f>
        <v>2666007.2000000002</v>
      </c>
      <c r="J204" s="6">
        <f>SUM(J4:J203)</f>
        <v>6856936</v>
      </c>
      <c r="K204" s="6">
        <f>SUM(K4:K203)</f>
        <v>21333268.799999997</v>
      </c>
      <c r="L204" s="6"/>
      <c r="M204" s="6"/>
      <c r="N204" s="4"/>
      <c r="O204" s="4"/>
      <c r="P204" s="4"/>
    </row>
    <row r="205" spans="1:18" x14ac:dyDescent="0.35">
      <c r="F205" s="4"/>
      <c r="N205" s="4"/>
      <c r="O205" s="4"/>
    </row>
    <row r="207" spans="1:18" x14ac:dyDescent="0.35">
      <c r="A207">
        <f>COUNTA(A4:A203)</f>
        <v>200</v>
      </c>
    </row>
    <row r="211" spans="5:16" x14ac:dyDescent="0.35">
      <c r="E211" t="s">
        <v>1124</v>
      </c>
      <c r="F211" t="s">
        <v>622</v>
      </c>
      <c r="G211" t="s">
        <v>623</v>
      </c>
      <c r="H211" t="s">
        <v>624</v>
      </c>
      <c r="I211" t="s">
        <v>625</v>
      </c>
      <c r="J211" t="s">
        <v>609</v>
      </c>
      <c r="K211" t="s">
        <v>612</v>
      </c>
      <c r="L211" t="s">
        <v>1131</v>
      </c>
      <c r="N211" t="s">
        <v>611</v>
      </c>
      <c r="P211" t="s">
        <v>626</v>
      </c>
    </row>
    <row r="212" spans="5:16" x14ac:dyDescent="0.35">
      <c r="E212" t="s">
        <v>627</v>
      </c>
      <c r="F212">
        <f>COUNTIF(R4:R203, "pending")</f>
        <v>139</v>
      </c>
      <c r="G212">
        <f>COUNTIF(R4:R203,"delivered")</f>
        <v>61</v>
      </c>
      <c r="H212">
        <f>COUNTIF(Q4:Q203, "EMI ")</f>
        <v>74</v>
      </c>
      <c r="I212">
        <f>COUNTIF(Q4:Q203,"No Cost EMI")</f>
        <v>7</v>
      </c>
      <c r="J212">
        <f>COUNTIF(Q4:Q203, "Credit Card")</f>
        <v>67</v>
      </c>
      <c r="K212">
        <f>COUNTIF(Q4:Q203,"cash on delivery")</f>
        <v>27</v>
      </c>
      <c r="L212">
        <f>COUNTA(A4:A203)</f>
        <v>200</v>
      </c>
      <c r="N212">
        <f>COUNTIF(Q4:Q203,"UPI")</f>
        <v>17</v>
      </c>
      <c r="P212">
        <f>COUNTIF(Q4:Q203,"Buy now pay later")</f>
        <v>8</v>
      </c>
    </row>
    <row r="218" spans="5:16" x14ac:dyDescent="0.35">
      <c r="E218" t="s">
        <v>1124</v>
      </c>
      <c r="F218" t="s">
        <v>628</v>
      </c>
      <c r="G218" t="s">
        <v>632</v>
      </c>
      <c r="H218" t="s">
        <v>640</v>
      </c>
    </row>
    <row r="219" spans="5:16" x14ac:dyDescent="0.35">
      <c r="E219" t="s">
        <v>627</v>
      </c>
      <c r="F219" s="6">
        <f>SUM(K4:K203)</f>
        <v>21333268.799999997</v>
      </c>
      <c r="G219" s="12">
        <f>SUM(L4:L203)</f>
        <v>4190928.8000000003</v>
      </c>
      <c r="H219" s="6">
        <f>SUM(G4:G203)</f>
        <v>17142340</v>
      </c>
    </row>
    <row r="220" spans="5:16" x14ac:dyDescent="0.35">
      <c r="E220" t="s">
        <v>629</v>
      </c>
      <c r="F220" s="6">
        <f>AVERAGE(K4:K203)</f>
        <v>106666.34399999998</v>
      </c>
      <c r="G220" s="6">
        <f>AVERAGE(L4:L203)</f>
        <v>20954.644</v>
      </c>
      <c r="H220" s="6">
        <f>AVERAGE(G4:G203)</f>
        <v>85711.7</v>
      </c>
    </row>
    <row r="221" spans="5:16" x14ac:dyDescent="0.35">
      <c r="E221" t="s">
        <v>630</v>
      </c>
      <c r="F221" s="6">
        <f>MAX(K4:K203)</f>
        <v>632500</v>
      </c>
      <c r="G221" s="6">
        <f>MAX(L4:L203)</f>
        <v>124500</v>
      </c>
      <c r="H221" s="6">
        <f>MAX(G4:G203)</f>
        <v>550000</v>
      </c>
    </row>
    <row r="222" spans="5:16" x14ac:dyDescent="0.35">
      <c r="E222" t="s">
        <v>631</v>
      </c>
      <c r="F222" s="6">
        <f>MIN(K4:K203)</f>
        <v>560</v>
      </c>
      <c r="G222" s="6">
        <f>MIN(L4:L203)</f>
        <v>0</v>
      </c>
      <c r="H222" s="6">
        <f>MIN(G4:G203)</f>
        <v>400</v>
      </c>
    </row>
    <row r="225" spans="3:8" x14ac:dyDescent="0.35">
      <c r="G225" s="6"/>
      <c r="H225" s="6">
        <f>SUM(K4:K203)</f>
        <v>21333268.799999997</v>
      </c>
    </row>
    <row r="228" spans="3:8" x14ac:dyDescent="0.35">
      <c r="D228" t="str">
        <f xml:space="preserve"> "Pending Orders: "&amp;Orders!F212&amp; CHAR(10) &amp; "Delivered Orders: "&amp;G212</f>
        <v>Pending Orders: 139
Delivered Orders: 61</v>
      </c>
      <c r="H228" s="6"/>
    </row>
    <row r="235" spans="3:8" ht="36" x14ac:dyDescent="0.8">
      <c r="C235" s="13" t="s">
        <v>1145</v>
      </c>
      <c r="D235" s="13" t="s">
        <v>1156</v>
      </c>
    </row>
    <row r="236" spans="3:8" x14ac:dyDescent="0.35">
      <c r="C236" t="s">
        <v>1146</v>
      </c>
      <c r="D236" t="s">
        <v>1154</v>
      </c>
    </row>
    <row r="237" spans="3:8" x14ac:dyDescent="0.35">
      <c r="C237" t="s">
        <v>1147</v>
      </c>
      <c r="D237" t="str">
        <f>_xlfn.XLOOKUP(MAX(E4:E203),E4:E203,O4:O203)</f>
        <v>Electronics</v>
      </c>
    </row>
    <row r="238" spans="3:8" x14ac:dyDescent="0.35">
      <c r="C238" t="s">
        <v>1148</v>
      </c>
      <c r="D238" t="str">
        <f>_xlfn.XLOOKUP(MAX(K4:K203),K4:K203,M4:M203)</f>
        <v>Rahul Arora</v>
      </c>
    </row>
    <row r="239" spans="3:8" x14ac:dyDescent="0.35">
      <c r="C239" s="14" t="s">
        <v>1155</v>
      </c>
      <c r="D239" t="str">
        <f>_xlfn.XLOOKUP(MAX(K4:K203),K4:K203,P4:P203)</f>
        <v>Gurugram</v>
      </c>
    </row>
    <row r="240" spans="3:8" x14ac:dyDescent="0.35">
      <c r="C240" s="15" t="s">
        <v>1149</v>
      </c>
      <c r="D240" s="6">
        <f>'monetary analysis '!A15</f>
        <v>18845.643816254415</v>
      </c>
    </row>
    <row r="241" spans="3:4" x14ac:dyDescent="0.35">
      <c r="C241" s="15" t="s">
        <v>1150</v>
      </c>
      <c r="D241" t="str">
        <f>'methods of payment'!A7</f>
        <v xml:space="preserve">EMI </v>
      </c>
    </row>
    <row r="242" spans="3:4" x14ac:dyDescent="0.35">
      <c r="C242" t="s">
        <v>1153</v>
      </c>
      <c r="D242" t="str">
        <f>_xlfn.XLOOKUP(MAX(L4:L203),L4:L203,O4:O203)</f>
        <v>Electronics</v>
      </c>
    </row>
    <row r="243" spans="3:4" x14ac:dyDescent="0.35">
      <c r="C243" s="14" t="s">
        <v>1151</v>
      </c>
      <c r="D243" s="6">
        <f>SUM(K4:K203)</f>
        <v>21333268.799999997</v>
      </c>
    </row>
    <row r="244" spans="3:4" x14ac:dyDescent="0.35">
      <c r="C244" t="s">
        <v>1152</v>
      </c>
      <c r="D244" t="str">
        <f>_xlfn.XLOOKUP(MAX(K4:K203),K4:K203,O4:O203)</f>
        <v>Electronics</v>
      </c>
    </row>
  </sheetData>
  <mergeCells count="1">
    <mergeCell ref="C1:S2"/>
  </mergeCells>
  <phoneticPr fontId="1" type="noConversion"/>
  <dataValidations count="1">
    <dataValidation type="list" errorStyle="warning" allowBlank="1" showInputMessage="1" showErrorMessage="1" sqref="O4" xr:uid="{7F42BAAA-E259-43C1-AA0C-41EBF8A65B6C}">
      <formula1>"o4:o203"</formula1>
    </dataValidation>
  </dataValidations>
  <pageMargins left="0.7" right="0.7" top="0.75" bottom="0.75" header="0.3" footer="0.3"/>
  <tableParts count="4">
    <tablePart r:id="rId1"/>
    <tablePart r:id="rId2"/>
    <tablePart r:id="rId3"/>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350B4-AF4E-40E0-BEF2-5F1656B85A03}">
  <dimension ref="A4:M206"/>
  <sheetViews>
    <sheetView zoomScaleNormal="100" workbookViewId="0">
      <selection activeCell="D205" sqref="D205"/>
    </sheetView>
  </sheetViews>
  <sheetFormatPr defaultRowHeight="14.5" x14ac:dyDescent="0.35"/>
  <cols>
    <col min="1" max="1" width="14" customWidth="1"/>
    <col min="2" max="2" width="18.6328125" customWidth="1"/>
    <col min="3" max="3" width="51.81640625" customWidth="1"/>
    <col min="4" max="4" width="32.6328125" customWidth="1"/>
    <col min="5" max="6" width="18.08984375" customWidth="1"/>
    <col min="7" max="7" width="18.54296875" customWidth="1"/>
    <col min="8" max="8" width="15.36328125" customWidth="1"/>
    <col min="9" max="9" width="15.54296875" customWidth="1"/>
    <col min="11" max="12" width="21.6328125" customWidth="1"/>
    <col min="13" max="13" width="23.54296875" customWidth="1"/>
  </cols>
  <sheetData>
    <row r="4" spans="1:13" x14ac:dyDescent="0.35">
      <c r="A4" t="s">
        <v>2</v>
      </c>
      <c r="B4" t="s">
        <v>639</v>
      </c>
      <c r="C4" t="s">
        <v>638</v>
      </c>
      <c r="D4" t="s">
        <v>1010</v>
      </c>
      <c r="E4" t="s">
        <v>4</v>
      </c>
      <c r="F4" t="s">
        <v>642</v>
      </c>
      <c r="G4" t="s">
        <v>633</v>
      </c>
      <c r="H4" t="s">
        <v>634</v>
      </c>
      <c r="I4" t="s">
        <v>635</v>
      </c>
      <c r="J4" t="s">
        <v>636</v>
      </c>
      <c r="K4" t="s">
        <v>637</v>
      </c>
      <c r="L4" t="s">
        <v>1132</v>
      </c>
      <c r="M4" t="s">
        <v>641</v>
      </c>
    </row>
    <row r="5" spans="1:13" x14ac:dyDescent="0.35">
      <c r="A5" t="s">
        <v>209</v>
      </c>
      <c r="B5" t="s">
        <v>409</v>
      </c>
      <c r="C5" t="s">
        <v>644</v>
      </c>
      <c r="D5" t="s">
        <v>1014</v>
      </c>
      <c r="E5">
        <f>Orders!E4</f>
        <v>4</v>
      </c>
      <c r="F5" s="6">
        <f>Orders!K4</f>
        <v>4674.7999999999993</v>
      </c>
      <c r="G5" s="7" t="s">
        <v>814</v>
      </c>
      <c r="H5" t="s">
        <v>1044</v>
      </c>
      <c r="I5" t="s">
        <v>1115</v>
      </c>
      <c r="J5">
        <v>21</v>
      </c>
      <c r="K5" t="str">
        <f>IF(J5&lt;=25,"student",IF(J5&lt;60,"working adults","Senior Citizen"))</f>
        <v>student</v>
      </c>
      <c r="L5" t="str">
        <f>Orders!R4</f>
        <v>Delivered</v>
      </c>
      <c r="M5" t="str">
        <f>Orders!Q4</f>
        <v>Credit Card</v>
      </c>
    </row>
    <row r="6" spans="1:13" x14ac:dyDescent="0.35">
      <c r="A6" t="s">
        <v>210</v>
      </c>
      <c r="B6" t="s">
        <v>410</v>
      </c>
      <c r="C6" t="s">
        <v>643</v>
      </c>
      <c r="D6" t="s">
        <v>1014</v>
      </c>
      <c r="E6">
        <f>Orders!E5</f>
        <v>5</v>
      </c>
      <c r="F6" s="6">
        <f>Orders!K5</f>
        <v>4478.1000000000004</v>
      </c>
      <c r="G6" s="7" t="s">
        <v>815</v>
      </c>
      <c r="H6" t="s">
        <v>1045</v>
      </c>
      <c r="I6" t="s">
        <v>1099</v>
      </c>
      <c r="J6">
        <v>22</v>
      </c>
      <c r="K6" t="str">
        <f t="shared" ref="K6:K69" si="0">IF(J6&lt;=25,"student",IF(J6&lt;60,"working adults","Senior Citizen"))</f>
        <v>student</v>
      </c>
      <c r="L6" t="str">
        <f>Orders!R5</f>
        <v>Delivered</v>
      </c>
      <c r="M6" t="str">
        <f>Orders!Q5</f>
        <v>UPI</v>
      </c>
    </row>
    <row r="7" spans="1:13" x14ac:dyDescent="0.35">
      <c r="A7" t="s">
        <v>211</v>
      </c>
      <c r="B7" t="s">
        <v>411</v>
      </c>
      <c r="C7" t="s">
        <v>645</v>
      </c>
      <c r="D7" t="s">
        <v>1014</v>
      </c>
      <c r="E7">
        <f>Orders!E6</f>
        <v>6</v>
      </c>
      <c r="F7" s="6">
        <f>Orders!K6</f>
        <v>1050</v>
      </c>
      <c r="G7" s="7" t="s">
        <v>1047</v>
      </c>
      <c r="H7" t="s">
        <v>1043</v>
      </c>
      <c r="I7" t="s">
        <v>1100</v>
      </c>
      <c r="J7">
        <v>21</v>
      </c>
      <c r="K7" t="str">
        <f t="shared" si="0"/>
        <v>student</v>
      </c>
      <c r="L7" t="str">
        <f>Orders!R6</f>
        <v>Delivered</v>
      </c>
      <c r="M7" t="str">
        <f>Orders!Q6</f>
        <v>Cash on delivery</v>
      </c>
    </row>
    <row r="8" spans="1:13" x14ac:dyDescent="0.35">
      <c r="A8" t="s">
        <v>212</v>
      </c>
      <c r="B8" t="s">
        <v>412</v>
      </c>
      <c r="C8" t="s">
        <v>646</v>
      </c>
      <c r="D8" t="s">
        <v>1014</v>
      </c>
      <c r="E8">
        <f>Orders!E7</f>
        <v>7</v>
      </c>
      <c r="F8" s="6">
        <f>Orders!K7</f>
        <v>1950.2</v>
      </c>
      <c r="G8" s="7" t="s">
        <v>816</v>
      </c>
      <c r="H8" t="s">
        <v>1046</v>
      </c>
      <c r="I8" t="s">
        <v>1116</v>
      </c>
      <c r="J8">
        <v>19</v>
      </c>
      <c r="K8" t="str">
        <f t="shared" si="0"/>
        <v>student</v>
      </c>
      <c r="L8" t="str">
        <f>Orders!R7</f>
        <v>Delivered</v>
      </c>
      <c r="M8" t="str">
        <f>Orders!Q7</f>
        <v>Cash on delivery</v>
      </c>
    </row>
    <row r="9" spans="1:13" x14ac:dyDescent="0.35">
      <c r="A9" t="s">
        <v>213</v>
      </c>
      <c r="B9" t="s">
        <v>413</v>
      </c>
      <c r="C9" t="s">
        <v>647</v>
      </c>
      <c r="D9" t="s">
        <v>1011</v>
      </c>
      <c r="E9">
        <f>Orders!E8</f>
        <v>2</v>
      </c>
      <c r="F9" s="6">
        <f>Orders!K8</f>
        <v>2250</v>
      </c>
      <c r="G9" s="7" t="s">
        <v>817</v>
      </c>
      <c r="H9" t="s">
        <v>1048</v>
      </c>
      <c r="I9" t="s">
        <v>1101</v>
      </c>
      <c r="J9">
        <v>29</v>
      </c>
      <c r="K9" t="str">
        <f t="shared" si="0"/>
        <v>working adults</v>
      </c>
      <c r="L9" t="str">
        <f>Orders!R8</f>
        <v>Delivered</v>
      </c>
      <c r="M9" t="str">
        <f>Orders!Q8</f>
        <v>Cash on delivery</v>
      </c>
    </row>
    <row r="10" spans="1:13" x14ac:dyDescent="0.35">
      <c r="A10" t="s">
        <v>214</v>
      </c>
      <c r="B10" t="s">
        <v>414</v>
      </c>
      <c r="C10" t="s">
        <v>648</v>
      </c>
      <c r="D10" t="s">
        <v>1012</v>
      </c>
      <c r="E10">
        <f>Orders!E9</f>
        <v>3</v>
      </c>
      <c r="F10" s="6">
        <f>Orders!K9</f>
        <v>4500</v>
      </c>
      <c r="G10" s="7" t="s">
        <v>818</v>
      </c>
      <c r="H10" t="s">
        <v>1049</v>
      </c>
      <c r="I10" t="s">
        <v>1099</v>
      </c>
      <c r="J10">
        <v>34</v>
      </c>
      <c r="K10" t="str">
        <f t="shared" si="0"/>
        <v>working adults</v>
      </c>
      <c r="L10" t="str">
        <f>Orders!R9</f>
        <v>Delivered</v>
      </c>
      <c r="M10" t="str">
        <f>Orders!Q9</f>
        <v>Cash on delivery</v>
      </c>
    </row>
    <row r="11" spans="1:13" x14ac:dyDescent="0.35">
      <c r="A11" t="s">
        <v>215</v>
      </c>
      <c r="B11" t="s">
        <v>415</v>
      </c>
      <c r="C11" t="s">
        <v>649</v>
      </c>
      <c r="D11" t="s">
        <v>1013</v>
      </c>
      <c r="E11">
        <f>Orders!E10</f>
        <v>4</v>
      </c>
      <c r="F11" s="6">
        <f>Orders!K10</f>
        <v>4000</v>
      </c>
      <c r="G11" s="7" t="s">
        <v>819</v>
      </c>
      <c r="H11" t="s">
        <v>1050</v>
      </c>
      <c r="I11" t="s">
        <v>1102</v>
      </c>
      <c r="J11">
        <v>35</v>
      </c>
      <c r="K11" t="str">
        <f t="shared" si="0"/>
        <v>working adults</v>
      </c>
      <c r="L11" t="str">
        <f>Orders!R10</f>
        <v>Delivered</v>
      </c>
      <c r="M11" t="str">
        <f>Orders!Q10</f>
        <v>Cash on delivery</v>
      </c>
    </row>
    <row r="12" spans="1:13" x14ac:dyDescent="0.35">
      <c r="A12" t="s">
        <v>216</v>
      </c>
      <c r="B12" t="s">
        <v>416</v>
      </c>
      <c r="C12" t="s">
        <v>650</v>
      </c>
      <c r="D12" t="s">
        <v>1014</v>
      </c>
      <c r="E12">
        <f>Orders!E11</f>
        <v>5</v>
      </c>
      <c r="F12" s="6">
        <f>Orders!K11</f>
        <v>4375</v>
      </c>
      <c r="G12" s="7" t="s">
        <v>820</v>
      </c>
      <c r="H12" t="s">
        <v>1051</v>
      </c>
      <c r="I12" t="s">
        <v>1103</v>
      </c>
      <c r="J12">
        <v>17</v>
      </c>
      <c r="K12" t="str">
        <f t="shared" si="0"/>
        <v>student</v>
      </c>
      <c r="L12" t="str">
        <f>Orders!R11</f>
        <v>Delivered</v>
      </c>
      <c r="M12" t="str">
        <f>Orders!Q11</f>
        <v>Cash on delivery</v>
      </c>
    </row>
    <row r="13" spans="1:13" x14ac:dyDescent="0.35">
      <c r="A13" t="s">
        <v>217</v>
      </c>
      <c r="B13" t="s">
        <v>417</v>
      </c>
      <c r="C13" t="s">
        <v>651</v>
      </c>
      <c r="D13" t="s">
        <v>1014</v>
      </c>
      <c r="E13">
        <f>Orders!E12</f>
        <v>1</v>
      </c>
      <c r="F13" s="6">
        <f>Orders!K12</f>
        <v>750</v>
      </c>
      <c r="G13" s="7" t="s">
        <v>821</v>
      </c>
      <c r="H13" t="s">
        <v>1052</v>
      </c>
      <c r="I13" t="s">
        <v>1104</v>
      </c>
      <c r="J13">
        <v>16</v>
      </c>
      <c r="K13" t="str">
        <f t="shared" si="0"/>
        <v>student</v>
      </c>
      <c r="L13" t="str">
        <f>Orders!R12</f>
        <v>Delivered</v>
      </c>
      <c r="M13" t="str">
        <f>Orders!Q12</f>
        <v>Cash on delivery</v>
      </c>
    </row>
    <row r="14" spans="1:13" x14ac:dyDescent="0.35">
      <c r="A14" t="s">
        <v>218</v>
      </c>
      <c r="B14" t="s">
        <v>418</v>
      </c>
      <c r="C14" t="s">
        <v>652</v>
      </c>
      <c r="D14" t="s">
        <v>1015</v>
      </c>
      <c r="E14">
        <f>Orders!E13</f>
        <v>3</v>
      </c>
      <c r="F14" s="6">
        <f>Orders!K13</f>
        <v>11250</v>
      </c>
      <c r="G14" s="7" t="s">
        <v>822</v>
      </c>
      <c r="H14" t="s">
        <v>1053</v>
      </c>
      <c r="I14" t="s">
        <v>1105</v>
      </c>
      <c r="J14">
        <v>17</v>
      </c>
      <c r="K14" t="str">
        <f t="shared" si="0"/>
        <v>student</v>
      </c>
      <c r="L14" t="str">
        <f>Orders!R13</f>
        <v>Delivered</v>
      </c>
      <c r="M14" t="str">
        <f>Orders!Q13</f>
        <v>Cash on delivery</v>
      </c>
    </row>
    <row r="15" spans="1:13" x14ac:dyDescent="0.35">
      <c r="A15" t="s">
        <v>219</v>
      </c>
      <c r="B15" t="s">
        <v>419</v>
      </c>
      <c r="C15" t="s">
        <v>653</v>
      </c>
      <c r="D15" t="s">
        <v>1016</v>
      </c>
      <c r="E15">
        <f>Orders!E14</f>
        <v>5</v>
      </c>
      <c r="F15" s="6">
        <f>Orders!K14</f>
        <v>15000</v>
      </c>
      <c r="G15" s="7" t="s">
        <v>823</v>
      </c>
      <c r="H15" t="s">
        <v>1054</v>
      </c>
      <c r="I15" t="s">
        <v>1099</v>
      </c>
      <c r="J15">
        <v>27</v>
      </c>
      <c r="K15" t="str">
        <f t="shared" si="0"/>
        <v>working adults</v>
      </c>
      <c r="L15" t="str">
        <f>Orders!R14</f>
        <v>Pending</v>
      </c>
      <c r="M15" t="str">
        <f>Orders!Q14</f>
        <v>Credit Card</v>
      </c>
    </row>
    <row r="16" spans="1:13" x14ac:dyDescent="0.35">
      <c r="A16" t="s">
        <v>220</v>
      </c>
      <c r="B16" t="s">
        <v>420</v>
      </c>
      <c r="C16" t="s">
        <v>654</v>
      </c>
      <c r="D16" t="s">
        <v>1017</v>
      </c>
      <c r="E16">
        <f>Orders!E15</f>
        <v>7</v>
      </c>
      <c r="F16" s="6">
        <f>Orders!K15</f>
        <v>19320</v>
      </c>
      <c r="G16" s="7" t="s">
        <v>824</v>
      </c>
      <c r="H16" t="s">
        <v>1055</v>
      </c>
      <c r="I16" t="s">
        <v>1103</v>
      </c>
      <c r="J16">
        <v>32</v>
      </c>
      <c r="K16" t="str">
        <f t="shared" si="0"/>
        <v>working adults</v>
      </c>
      <c r="L16" t="str">
        <f>Orders!R15</f>
        <v>Delivered</v>
      </c>
      <c r="M16" t="str">
        <f>Orders!Q15</f>
        <v>Credit Card</v>
      </c>
    </row>
    <row r="17" spans="1:13" x14ac:dyDescent="0.35">
      <c r="A17" t="s">
        <v>221</v>
      </c>
      <c r="B17" t="s">
        <v>421</v>
      </c>
      <c r="C17" t="s">
        <v>655</v>
      </c>
      <c r="D17" t="s">
        <v>1017</v>
      </c>
      <c r="E17">
        <f>Orders!E16</f>
        <v>9</v>
      </c>
      <c r="F17" s="6">
        <f>Orders!K16</f>
        <v>22680</v>
      </c>
      <c r="G17" s="7" t="s">
        <v>825</v>
      </c>
      <c r="H17" t="s">
        <v>1056</v>
      </c>
      <c r="I17" t="s">
        <v>1106</v>
      </c>
      <c r="J17">
        <v>37</v>
      </c>
      <c r="K17" t="str">
        <f t="shared" si="0"/>
        <v>working adults</v>
      </c>
      <c r="L17" t="str">
        <f>Orders!R16</f>
        <v>Pending</v>
      </c>
      <c r="M17" t="str">
        <f>Orders!Q16</f>
        <v>Credit Card</v>
      </c>
    </row>
    <row r="18" spans="1:13" x14ac:dyDescent="0.35">
      <c r="A18" t="s">
        <v>222</v>
      </c>
      <c r="B18" t="s">
        <v>422</v>
      </c>
      <c r="C18" t="s">
        <v>656</v>
      </c>
      <c r="D18" t="s">
        <v>1030</v>
      </c>
      <c r="E18">
        <f>Orders!E17</f>
        <v>11</v>
      </c>
      <c r="F18" s="6">
        <f>Orders!K17</f>
        <v>25080</v>
      </c>
      <c r="G18" s="7" t="s">
        <v>826</v>
      </c>
      <c r="H18" t="s">
        <v>1057</v>
      </c>
      <c r="I18" t="s">
        <v>1106</v>
      </c>
      <c r="J18">
        <v>41</v>
      </c>
      <c r="K18" t="str">
        <f t="shared" si="0"/>
        <v>working adults</v>
      </c>
      <c r="L18" t="str">
        <f>Orders!R17</f>
        <v>Pending</v>
      </c>
      <c r="M18" t="str">
        <f>Orders!Q17</f>
        <v>Credit Card</v>
      </c>
    </row>
    <row r="19" spans="1:13" x14ac:dyDescent="0.35">
      <c r="A19" t="s">
        <v>223</v>
      </c>
      <c r="B19" t="s">
        <v>423</v>
      </c>
      <c r="C19" t="s">
        <v>657</v>
      </c>
      <c r="D19" t="s">
        <v>1030</v>
      </c>
      <c r="E19">
        <f>Orders!E18</f>
        <v>13</v>
      </c>
      <c r="F19" s="6">
        <f>Orders!K18</f>
        <v>3900</v>
      </c>
      <c r="G19" s="7" t="s">
        <v>827</v>
      </c>
      <c r="H19" t="s">
        <v>1058</v>
      </c>
      <c r="I19" t="s">
        <v>1107</v>
      </c>
      <c r="J19">
        <v>45</v>
      </c>
      <c r="K19" t="str">
        <f t="shared" si="0"/>
        <v>working adults</v>
      </c>
      <c r="L19" t="str">
        <f>Orders!R18</f>
        <v>Delivered</v>
      </c>
      <c r="M19" t="str">
        <f>Orders!Q18</f>
        <v>Credit Card</v>
      </c>
    </row>
    <row r="20" spans="1:13" x14ac:dyDescent="0.35">
      <c r="A20" t="s">
        <v>224</v>
      </c>
      <c r="B20" t="s">
        <v>424</v>
      </c>
      <c r="C20" t="s">
        <v>659</v>
      </c>
      <c r="D20" t="s">
        <v>1030</v>
      </c>
      <c r="E20">
        <f>Orders!E19</f>
        <v>15</v>
      </c>
      <c r="F20" s="6">
        <f>Orders!K19</f>
        <v>23400</v>
      </c>
      <c r="G20" s="7" t="s">
        <v>828</v>
      </c>
      <c r="H20" t="s">
        <v>1059</v>
      </c>
      <c r="I20" t="s">
        <v>1108</v>
      </c>
      <c r="J20">
        <v>43</v>
      </c>
      <c r="K20" t="str">
        <f t="shared" si="0"/>
        <v>working adults</v>
      </c>
      <c r="L20" t="str">
        <f>Orders!R19</f>
        <v>Pending</v>
      </c>
      <c r="M20" t="str">
        <f>Orders!Q19</f>
        <v>Credit Card</v>
      </c>
    </row>
    <row r="21" spans="1:13" x14ac:dyDescent="0.35">
      <c r="A21" t="s">
        <v>225</v>
      </c>
      <c r="B21" t="s">
        <v>425</v>
      </c>
      <c r="C21" t="s">
        <v>658</v>
      </c>
      <c r="D21" t="s">
        <v>1030</v>
      </c>
      <c r="E21">
        <f>Orders!E20</f>
        <v>17</v>
      </c>
      <c r="F21" s="6">
        <f>Orders!K20</f>
        <v>63240</v>
      </c>
      <c r="G21" s="7" t="s">
        <v>829</v>
      </c>
      <c r="H21" t="s">
        <v>1060</v>
      </c>
      <c r="I21" t="s">
        <v>1109</v>
      </c>
      <c r="J21">
        <v>41</v>
      </c>
      <c r="K21" t="str">
        <f t="shared" si="0"/>
        <v>working adults</v>
      </c>
      <c r="L21" t="str">
        <f>Orders!R20</f>
        <v>Delivered</v>
      </c>
      <c r="M21" t="str">
        <f>Orders!Q20</f>
        <v>Credit Card</v>
      </c>
    </row>
    <row r="22" spans="1:13" x14ac:dyDescent="0.35">
      <c r="A22" t="s">
        <v>226</v>
      </c>
      <c r="B22" t="s">
        <v>426</v>
      </c>
      <c r="C22" t="s">
        <v>660</v>
      </c>
      <c r="D22" t="s">
        <v>1018</v>
      </c>
      <c r="E22">
        <f>Orders!E21</f>
        <v>19</v>
      </c>
      <c r="F22" s="6">
        <f>Orders!K21</f>
        <v>27360</v>
      </c>
      <c r="G22" s="7" t="s">
        <v>830</v>
      </c>
      <c r="H22" t="s">
        <v>1061</v>
      </c>
      <c r="I22" t="s">
        <v>1099</v>
      </c>
      <c r="J22">
        <v>57</v>
      </c>
      <c r="K22" t="str">
        <f t="shared" si="0"/>
        <v>working adults</v>
      </c>
      <c r="L22" t="str">
        <f>Orders!R21</f>
        <v>Pending</v>
      </c>
      <c r="M22" t="str">
        <f>Orders!Q21</f>
        <v>Credit Card</v>
      </c>
    </row>
    <row r="23" spans="1:13" x14ac:dyDescent="0.35">
      <c r="A23" t="s">
        <v>227</v>
      </c>
      <c r="B23" t="s">
        <v>427</v>
      </c>
      <c r="C23" t="s">
        <v>1019</v>
      </c>
      <c r="D23" t="s">
        <v>1020</v>
      </c>
      <c r="E23">
        <f>Orders!E22</f>
        <v>21</v>
      </c>
      <c r="F23" s="6">
        <f>Orders!K22</f>
        <v>27720</v>
      </c>
      <c r="G23" s="7" t="s">
        <v>831</v>
      </c>
      <c r="H23" t="s">
        <v>1062</v>
      </c>
      <c r="I23" t="s">
        <v>1109</v>
      </c>
      <c r="J23">
        <v>43</v>
      </c>
      <c r="K23" t="str">
        <f t="shared" si="0"/>
        <v>working adults</v>
      </c>
      <c r="L23" t="str">
        <f>Orders!R22</f>
        <v>Pending</v>
      </c>
      <c r="M23" t="str">
        <f>Orders!Q22</f>
        <v>Credit Card</v>
      </c>
    </row>
    <row r="24" spans="1:13" x14ac:dyDescent="0.35">
      <c r="A24" t="s">
        <v>228</v>
      </c>
      <c r="B24" t="s">
        <v>428</v>
      </c>
      <c r="C24" t="s">
        <v>661</v>
      </c>
      <c r="D24" t="s">
        <v>1021</v>
      </c>
      <c r="E24">
        <f>Orders!E23</f>
        <v>5</v>
      </c>
      <c r="F24" s="6">
        <f>Orders!K23</f>
        <v>13000</v>
      </c>
      <c r="G24" s="7" t="s">
        <v>832</v>
      </c>
      <c r="H24" t="s">
        <v>1063</v>
      </c>
      <c r="I24" t="s">
        <v>1110</v>
      </c>
      <c r="J24">
        <v>26</v>
      </c>
      <c r="K24" t="str">
        <f t="shared" si="0"/>
        <v>working adults</v>
      </c>
      <c r="L24" t="str">
        <f>Orders!R23</f>
        <v>Pending</v>
      </c>
      <c r="M24" t="str">
        <f>Orders!Q23</f>
        <v>Credit Card</v>
      </c>
    </row>
    <row r="25" spans="1:13" x14ac:dyDescent="0.35">
      <c r="A25" t="s">
        <v>229</v>
      </c>
      <c r="B25" t="s">
        <v>429</v>
      </c>
      <c r="C25" t="s">
        <v>662</v>
      </c>
      <c r="D25" t="s">
        <v>1022</v>
      </c>
      <c r="E25">
        <f>Orders!E24</f>
        <v>3</v>
      </c>
      <c r="F25" s="6">
        <f>Orders!K24</f>
        <v>12150</v>
      </c>
      <c r="G25" s="7" t="s">
        <v>833</v>
      </c>
      <c r="H25" t="s">
        <v>1050</v>
      </c>
      <c r="I25" t="s">
        <v>1102</v>
      </c>
      <c r="J25">
        <v>37</v>
      </c>
      <c r="K25" t="str">
        <f t="shared" si="0"/>
        <v>working adults</v>
      </c>
      <c r="L25" t="str">
        <f>Orders!R24</f>
        <v>Delivered</v>
      </c>
      <c r="M25" t="str">
        <f>Orders!Q24</f>
        <v>Buy Now Pay later</v>
      </c>
    </row>
    <row r="26" spans="1:13" x14ac:dyDescent="0.35">
      <c r="A26" t="s">
        <v>230</v>
      </c>
      <c r="B26" t="s">
        <v>430</v>
      </c>
      <c r="C26" t="s">
        <v>663</v>
      </c>
      <c r="D26" t="s">
        <v>1013</v>
      </c>
      <c r="E26">
        <f>Orders!E25</f>
        <v>2</v>
      </c>
      <c r="F26" s="6">
        <f>Orders!K25</f>
        <v>560</v>
      </c>
      <c r="G26" s="7" t="s">
        <v>834</v>
      </c>
      <c r="H26" t="s">
        <v>1064</v>
      </c>
      <c r="I26" t="s">
        <v>1109</v>
      </c>
      <c r="J26">
        <v>19</v>
      </c>
      <c r="K26" t="str">
        <f t="shared" si="0"/>
        <v>student</v>
      </c>
      <c r="L26" t="str">
        <f>Orders!R25</f>
        <v>Delivered</v>
      </c>
      <c r="M26" t="str">
        <f>Orders!Q25</f>
        <v>Cash on delivery</v>
      </c>
    </row>
    <row r="27" spans="1:13" x14ac:dyDescent="0.35">
      <c r="A27" t="s">
        <v>231</v>
      </c>
      <c r="B27" t="s">
        <v>431</v>
      </c>
      <c r="C27" t="s">
        <v>664</v>
      </c>
      <c r="D27" t="s">
        <v>1013</v>
      </c>
      <c r="E27">
        <f>Orders!E26</f>
        <v>1</v>
      </c>
      <c r="F27" s="6">
        <f>Orders!K26</f>
        <v>10560</v>
      </c>
      <c r="G27" s="7" t="s">
        <v>835</v>
      </c>
      <c r="H27" t="s">
        <v>1065</v>
      </c>
      <c r="I27" t="s">
        <v>1109</v>
      </c>
      <c r="J27">
        <v>25</v>
      </c>
      <c r="K27" t="str">
        <f t="shared" si="0"/>
        <v>student</v>
      </c>
      <c r="L27" t="str">
        <f>Orders!R26</f>
        <v>Pending</v>
      </c>
      <c r="M27" t="str">
        <f>Orders!Q26</f>
        <v>Credit Card</v>
      </c>
    </row>
    <row r="28" spans="1:13" x14ac:dyDescent="0.35">
      <c r="A28" t="s">
        <v>232</v>
      </c>
      <c r="B28" t="s">
        <v>432</v>
      </c>
      <c r="C28" t="s">
        <v>665</v>
      </c>
      <c r="D28" t="s">
        <v>1013</v>
      </c>
      <c r="E28">
        <f>Orders!E27</f>
        <v>4</v>
      </c>
      <c r="F28" s="6">
        <f>Orders!K27</f>
        <v>6900</v>
      </c>
      <c r="G28" s="7" t="s">
        <v>836</v>
      </c>
      <c r="H28" t="s">
        <v>1064</v>
      </c>
      <c r="I28" t="s">
        <v>1109</v>
      </c>
      <c r="J28">
        <v>45</v>
      </c>
      <c r="K28" t="str">
        <f t="shared" si="0"/>
        <v>working adults</v>
      </c>
      <c r="L28" t="str">
        <f>Orders!R27</f>
        <v>Pending</v>
      </c>
      <c r="M28" t="str">
        <f>Orders!Q27</f>
        <v>Cash on delivery</v>
      </c>
    </row>
    <row r="29" spans="1:13" x14ac:dyDescent="0.35">
      <c r="A29" t="s">
        <v>233</v>
      </c>
      <c r="B29" t="s">
        <v>433</v>
      </c>
      <c r="C29" t="s">
        <v>666</v>
      </c>
      <c r="D29" t="s">
        <v>1018</v>
      </c>
      <c r="E29">
        <f>Orders!E28</f>
        <v>2</v>
      </c>
      <c r="F29" s="6">
        <f>Orders!K28</f>
        <v>8100</v>
      </c>
      <c r="G29" s="7" t="s">
        <v>837</v>
      </c>
      <c r="H29" t="s">
        <v>1062</v>
      </c>
      <c r="I29" t="s">
        <v>1109</v>
      </c>
      <c r="J29">
        <v>36</v>
      </c>
      <c r="K29" t="str">
        <f t="shared" si="0"/>
        <v>working adults</v>
      </c>
      <c r="L29" t="str">
        <f>Orders!R28</f>
        <v>Pending</v>
      </c>
      <c r="M29" t="str">
        <f>Orders!Q28</f>
        <v>Credit Card</v>
      </c>
    </row>
    <row r="30" spans="1:13" x14ac:dyDescent="0.35">
      <c r="A30" t="s">
        <v>234</v>
      </c>
      <c r="B30" t="s">
        <v>434</v>
      </c>
      <c r="C30" t="s">
        <v>655</v>
      </c>
      <c r="D30" t="s">
        <v>1017</v>
      </c>
      <c r="E30">
        <f>Orders!E29</f>
        <v>4</v>
      </c>
      <c r="F30" s="6">
        <f>Orders!K29</f>
        <v>20800</v>
      </c>
      <c r="G30" s="7" t="s">
        <v>838</v>
      </c>
      <c r="H30" t="s">
        <v>1060</v>
      </c>
      <c r="I30" t="s">
        <v>1109</v>
      </c>
      <c r="J30">
        <v>32</v>
      </c>
      <c r="K30" t="str">
        <f t="shared" si="0"/>
        <v>working adults</v>
      </c>
      <c r="L30" t="str">
        <f>Orders!R29</f>
        <v>Pending</v>
      </c>
      <c r="M30" t="str">
        <f>Orders!Q29</f>
        <v>Buy Now Pay later</v>
      </c>
    </row>
    <row r="31" spans="1:13" x14ac:dyDescent="0.35">
      <c r="A31" t="s">
        <v>235</v>
      </c>
      <c r="B31" t="s">
        <v>435</v>
      </c>
      <c r="C31" t="s">
        <v>667</v>
      </c>
      <c r="D31" t="s">
        <v>1023</v>
      </c>
      <c r="E31">
        <f>Orders!E30</f>
        <v>2</v>
      </c>
      <c r="F31" s="6">
        <f>Orders!K30</f>
        <v>14000</v>
      </c>
      <c r="G31" s="7" t="s">
        <v>839</v>
      </c>
      <c r="H31" t="s">
        <v>1062</v>
      </c>
      <c r="I31" t="s">
        <v>1109</v>
      </c>
      <c r="J31">
        <v>17</v>
      </c>
      <c r="K31" t="str">
        <f t="shared" si="0"/>
        <v>student</v>
      </c>
      <c r="L31" t="str">
        <f>Orders!R30</f>
        <v>Delivered</v>
      </c>
      <c r="M31" t="str">
        <f>Orders!Q30</f>
        <v>Credit Card</v>
      </c>
    </row>
    <row r="32" spans="1:13" x14ac:dyDescent="0.35">
      <c r="A32" t="s">
        <v>236</v>
      </c>
      <c r="B32" t="s">
        <v>436</v>
      </c>
      <c r="C32" t="s">
        <v>668</v>
      </c>
      <c r="D32" t="s">
        <v>1015</v>
      </c>
      <c r="E32">
        <f>Orders!E31</f>
        <v>6</v>
      </c>
      <c r="F32" s="6">
        <f>Orders!K31</f>
        <v>41400</v>
      </c>
      <c r="G32" s="7" t="s">
        <v>840</v>
      </c>
      <c r="H32" t="s">
        <v>1062</v>
      </c>
      <c r="I32" t="s">
        <v>1109</v>
      </c>
      <c r="J32">
        <v>16</v>
      </c>
      <c r="K32" t="str">
        <f t="shared" si="0"/>
        <v>student</v>
      </c>
      <c r="L32" t="str">
        <f>Orders!R31</f>
        <v>Delivered</v>
      </c>
      <c r="M32" t="str">
        <f>Orders!Q31</f>
        <v xml:space="preserve">EMI </v>
      </c>
    </row>
    <row r="33" spans="1:13" x14ac:dyDescent="0.35">
      <c r="A33" t="s">
        <v>237</v>
      </c>
      <c r="B33" t="s">
        <v>437</v>
      </c>
      <c r="C33" t="s">
        <v>669</v>
      </c>
      <c r="D33" t="s">
        <v>1024</v>
      </c>
      <c r="E33">
        <f>Orders!E32</f>
        <v>3</v>
      </c>
      <c r="F33" s="6">
        <f>Orders!K32</f>
        <v>46800</v>
      </c>
      <c r="G33" s="7" t="s">
        <v>841</v>
      </c>
      <c r="H33" t="s">
        <v>1053</v>
      </c>
      <c r="I33" t="s">
        <v>1105</v>
      </c>
      <c r="J33">
        <v>39</v>
      </c>
      <c r="K33" t="str">
        <f t="shared" si="0"/>
        <v>working adults</v>
      </c>
      <c r="L33" t="str">
        <f>Orders!R32</f>
        <v>Pending</v>
      </c>
      <c r="M33" t="str">
        <f>Orders!Q32</f>
        <v>Buy Now Pay later</v>
      </c>
    </row>
    <row r="34" spans="1:13" x14ac:dyDescent="0.35">
      <c r="A34" t="s">
        <v>238</v>
      </c>
      <c r="B34" t="s">
        <v>438</v>
      </c>
      <c r="C34" t="s">
        <v>670</v>
      </c>
      <c r="D34" t="s">
        <v>1011</v>
      </c>
      <c r="E34">
        <f>Orders!E33</f>
        <v>2</v>
      </c>
      <c r="F34" s="6">
        <f>Orders!K33</f>
        <v>34500</v>
      </c>
      <c r="G34" s="7" t="s">
        <v>842</v>
      </c>
      <c r="H34" t="s">
        <v>1053</v>
      </c>
      <c r="I34" t="s">
        <v>1105</v>
      </c>
      <c r="J34">
        <v>29</v>
      </c>
      <c r="K34" t="str">
        <f t="shared" si="0"/>
        <v>working adults</v>
      </c>
      <c r="L34" t="str">
        <f>Orders!R33</f>
        <v>Pending</v>
      </c>
      <c r="M34" t="str">
        <f>Orders!Q33</f>
        <v xml:space="preserve">EMI </v>
      </c>
    </row>
    <row r="35" spans="1:13" x14ac:dyDescent="0.35">
      <c r="A35" t="s">
        <v>239</v>
      </c>
      <c r="B35" t="s">
        <v>439</v>
      </c>
      <c r="C35" t="s">
        <v>671</v>
      </c>
      <c r="D35" t="s">
        <v>1013</v>
      </c>
      <c r="E35">
        <f>Orders!E34</f>
        <v>1</v>
      </c>
      <c r="F35" s="6">
        <f>Orders!K34</f>
        <v>35650</v>
      </c>
      <c r="G35" s="7" t="s">
        <v>843</v>
      </c>
      <c r="H35" t="s">
        <v>1066</v>
      </c>
      <c r="I35" t="s">
        <v>1066</v>
      </c>
      <c r="J35">
        <v>31</v>
      </c>
      <c r="K35" t="str">
        <f t="shared" si="0"/>
        <v>working adults</v>
      </c>
      <c r="L35" t="str">
        <f>Orders!R34</f>
        <v>Pending</v>
      </c>
      <c r="M35" t="str">
        <f>Orders!Q34</f>
        <v xml:space="preserve">EMI </v>
      </c>
    </row>
    <row r="36" spans="1:13" x14ac:dyDescent="0.35">
      <c r="A36" t="s">
        <v>240</v>
      </c>
      <c r="B36" t="s">
        <v>440</v>
      </c>
      <c r="C36" t="s">
        <v>672</v>
      </c>
      <c r="D36" t="s">
        <v>1025</v>
      </c>
      <c r="E36">
        <f>Orders!E35</f>
        <v>7</v>
      </c>
      <c r="F36" s="6">
        <f>Orders!K35</f>
        <v>6615</v>
      </c>
      <c r="G36" s="7" t="s">
        <v>844</v>
      </c>
      <c r="H36" t="s">
        <v>1066</v>
      </c>
      <c r="I36" t="s">
        <v>1066</v>
      </c>
      <c r="J36">
        <v>26</v>
      </c>
      <c r="K36" t="str">
        <f t="shared" si="0"/>
        <v>working adults</v>
      </c>
      <c r="L36" t="str">
        <f>Orders!R35</f>
        <v>Delivered</v>
      </c>
      <c r="M36" t="str">
        <f>Orders!Q35</f>
        <v>Cash on delivery</v>
      </c>
    </row>
    <row r="37" spans="1:13" x14ac:dyDescent="0.35">
      <c r="A37" t="s">
        <v>241</v>
      </c>
      <c r="B37" t="s">
        <v>441</v>
      </c>
      <c r="C37" t="s">
        <v>673</v>
      </c>
      <c r="D37" t="s">
        <v>1013</v>
      </c>
      <c r="E37">
        <f>Orders!E36</f>
        <v>8</v>
      </c>
      <c r="F37" s="6">
        <f>Orders!K36</f>
        <v>10800</v>
      </c>
      <c r="G37" s="7" t="s">
        <v>845</v>
      </c>
      <c r="H37" t="s">
        <v>1066</v>
      </c>
      <c r="I37" t="s">
        <v>1066</v>
      </c>
      <c r="J37">
        <v>31</v>
      </c>
      <c r="K37" t="str">
        <f t="shared" si="0"/>
        <v>working adults</v>
      </c>
      <c r="L37" t="str">
        <f>Orders!R36</f>
        <v>Delivered</v>
      </c>
      <c r="M37" t="str">
        <f>Orders!Q36</f>
        <v>Credit Card</v>
      </c>
    </row>
    <row r="38" spans="1:13" x14ac:dyDescent="0.35">
      <c r="A38" t="s">
        <v>242</v>
      </c>
      <c r="B38" t="s">
        <v>442</v>
      </c>
      <c r="C38" t="s">
        <v>674</v>
      </c>
      <c r="D38" t="s">
        <v>1013</v>
      </c>
      <c r="E38">
        <f>Orders!E37</f>
        <v>9</v>
      </c>
      <c r="F38" s="6">
        <f>Orders!K37</f>
        <v>11340</v>
      </c>
      <c r="G38" s="7" t="s">
        <v>846</v>
      </c>
      <c r="H38" t="s">
        <v>1066</v>
      </c>
      <c r="I38" t="s">
        <v>1066</v>
      </c>
      <c r="J38">
        <v>42</v>
      </c>
      <c r="K38" t="str">
        <f t="shared" si="0"/>
        <v>working adults</v>
      </c>
      <c r="L38" t="str">
        <f>Orders!R37</f>
        <v>Pending</v>
      </c>
      <c r="M38" t="str">
        <f>Orders!Q37</f>
        <v>Credit Card</v>
      </c>
    </row>
    <row r="39" spans="1:13" x14ac:dyDescent="0.35">
      <c r="A39" t="s">
        <v>243</v>
      </c>
      <c r="B39" t="s">
        <v>443</v>
      </c>
      <c r="C39" t="s">
        <v>675</v>
      </c>
      <c r="D39" t="s">
        <v>1013</v>
      </c>
      <c r="E39">
        <f>Orders!E38</f>
        <v>10</v>
      </c>
      <c r="F39" s="6">
        <f>Orders!K38</f>
        <v>125000</v>
      </c>
      <c r="G39" s="7" t="s">
        <v>847</v>
      </c>
      <c r="H39" t="s">
        <v>1066</v>
      </c>
      <c r="I39" t="s">
        <v>1066</v>
      </c>
      <c r="J39">
        <v>52</v>
      </c>
      <c r="K39" t="str">
        <f t="shared" si="0"/>
        <v>working adults</v>
      </c>
      <c r="L39" t="str">
        <f>Orders!R38</f>
        <v>Pending</v>
      </c>
      <c r="M39" t="str">
        <f>Orders!Q38</f>
        <v>Credit Card</v>
      </c>
    </row>
    <row r="40" spans="1:13" x14ac:dyDescent="0.35">
      <c r="A40" t="s">
        <v>244</v>
      </c>
      <c r="B40" t="s">
        <v>444</v>
      </c>
      <c r="C40" t="s">
        <v>676</v>
      </c>
      <c r="D40" t="s">
        <v>1022</v>
      </c>
      <c r="E40">
        <f>Orders!E39</f>
        <v>11</v>
      </c>
      <c r="F40" s="6">
        <f>Orders!K39</f>
        <v>17160</v>
      </c>
      <c r="G40" s="7" t="s">
        <v>848</v>
      </c>
      <c r="H40" t="s">
        <v>1066</v>
      </c>
      <c r="I40" t="s">
        <v>1066</v>
      </c>
      <c r="J40">
        <v>37</v>
      </c>
      <c r="K40" t="str">
        <f t="shared" si="0"/>
        <v>working adults</v>
      </c>
      <c r="L40" t="str">
        <f>Orders!R39</f>
        <v>Pending</v>
      </c>
      <c r="M40" t="str">
        <f>Orders!Q39</f>
        <v>Credit Card</v>
      </c>
    </row>
    <row r="41" spans="1:13" x14ac:dyDescent="0.35">
      <c r="A41" t="s">
        <v>245</v>
      </c>
      <c r="B41" t="s">
        <v>445</v>
      </c>
      <c r="C41" t="s">
        <v>677</v>
      </c>
      <c r="D41" t="s">
        <v>1022</v>
      </c>
      <c r="E41">
        <f>Orders!E40</f>
        <v>12</v>
      </c>
      <c r="F41" s="6">
        <f>Orders!K40</f>
        <v>36864</v>
      </c>
      <c r="G41" s="7" t="s">
        <v>849</v>
      </c>
      <c r="H41" t="s">
        <v>1066</v>
      </c>
      <c r="I41" t="s">
        <v>1066</v>
      </c>
      <c r="J41">
        <v>34</v>
      </c>
      <c r="K41" t="str">
        <f t="shared" si="0"/>
        <v>working adults</v>
      </c>
      <c r="L41" t="str">
        <f>Orders!R40</f>
        <v>Delivered</v>
      </c>
      <c r="M41" t="str">
        <f>Orders!Q40</f>
        <v>Credit Card</v>
      </c>
    </row>
    <row r="42" spans="1:13" x14ac:dyDescent="0.35">
      <c r="A42" t="s">
        <v>246</v>
      </c>
      <c r="B42" t="s">
        <v>446</v>
      </c>
      <c r="C42" t="s">
        <v>678</v>
      </c>
      <c r="D42" t="s">
        <v>1013</v>
      </c>
      <c r="E42">
        <f>Orders!E41</f>
        <v>13</v>
      </c>
      <c r="F42" s="6">
        <f>Orders!K41</f>
        <v>42588</v>
      </c>
      <c r="G42" s="7" t="s">
        <v>850</v>
      </c>
      <c r="H42" t="s">
        <v>1066</v>
      </c>
      <c r="I42" t="s">
        <v>1066</v>
      </c>
      <c r="J42">
        <v>38</v>
      </c>
      <c r="K42" t="str">
        <f t="shared" si="0"/>
        <v>working adults</v>
      </c>
      <c r="L42" t="str">
        <f>Orders!R41</f>
        <v>Delivered</v>
      </c>
      <c r="M42" t="str">
        <f>Orders!Q41</f>
        <v>Credit Card</v>
      </c>
    </row>
    <row r="43" spans="1:13" x14ac:dyDescent="0.35">
      <c r="A43" t="s">
        <v>247</v>
      </c>
      <c r="B43" t="s">
        <v>447</v>
      </c>
      <c r="C43" t="s">
        <v>1026</v>
      </c>
      <c r="D43" t="s">
        <v>1027</v>
      </c>
      <c r="E43">
        <f>Orders!E42</f>
        <v>14</v>
      </c>
      <c r="F43" s="6">
        <f>Orders!K42</f>
        <v>48608</v>
      </c>
      <c r="G43" s="7" t="s">
        <v>851</v>
      </c>
      <c r="H43" t="s">
        <v>1066</v>
      </c>
      <c r="I43" t="s">
        <v>1066</v>
      </c>
      <c r="J43">
        <v>54</v>
      </c>
      <c r="K43" t="str">
        <f t="shared" si="0"/>
        <v>working adults</v>
      </c>
      <c r="L43" t="str">
        <f>Orders!R42</f>
        <v>Delivered</v>
      </c>
      <c r="M43" t="str">
        <f>Orders!Q42</f>
        <v>Credit Card</v>
      </c>
    </row>
    <row r="44" spans="1:13" x14ac:dyDescent="0.35">
      <c r="A44" t="s">
        <v>248</v>
      </c>
      <c r="B44" t="s">
        <v>448</v>
      </c>
      <c r="C44" t="s">
        <v>1028</v>
      </c>
      <c r="D44" t="s">
        <v>1030</v>
      </c>
      <c r="E44">
        <f>Orders!E43</f>
        <v>11</v>
      </c>
      <c r="F44" s="6">
        <f>Orders!K43</f>
        <v>16802.5</v>
      </c>
      <c r="G44" s="7" t="s">
        <v>852</v>
      </c>
      <c r="H44" t="s">
        <v>1066</v>
      </c>
      <c r="I44" t="s">
        <v>1066</v>
      </c>
      <c r="J44">
        <v>41</v>
      </c>
      <c r="K44" t="str">
        <f t="shared" si="0"/>
        <v>working adults</v>
      </c>
      <c r="L44" t="str">
        <f>Orders!R43</f>
        <v>Delivered</v>
      </c>
      <c r="M44" t="str">
        <f>Orders!Q43</f>
        <v>Credit Card</v>
      </c>
    </row>
    <row r="45" spans="1:13" x14ac:dyDescent="0.35">
      <c r="A45" t="s">
        <v>249</v>
      </c>
      <c r="B45" t="s">
        <v>449</v>
      </c>
      <c r="C45" t="s">
        <v>679</v>
      </c>
      <c r="D45" t="s">
        <v>1024</v>
      </c>
      <c r="E45">
        <f>Orders!E44</f>
        <v>1</v>
      </c>
      <c r="F45" s="6">
        <f>Orders!K44</f>
        <v>51750</v>
      </c>
      <c r="G45" s="7" t="s">
        <v>853</v>
      </c>
      <c r="H45" t="s">
        <v>1066</v>
      </c>
      <c r="I45" t="s">
        <v>1066</v>
      </c>
      <c r="J45">
        <v>30</v>
      </c>
      <c r="K45" t="str">
        <f t="shared" si="0"/>
        <v>working adults</v>
      </c>
      <c r="L45" t="str">
        <f>Orders!R44</f>
        <v>Delivered</v>
      </c>
      <c r="M45" t="str">
        <f>Orders!Q44</f>
        <v>Credit Card</v>
      </c>
    </row>
    <row r="46" spans="1:13" x14ac:dyDescent="0.35">
      <c r="A46" t="s">
        <v>250</v>
      </c>
      <c r="B46" t="s">
        <v>450</v>
      </c>
      <c r="C46" t="s">
        <v>680</v>
      </c>
      <c r="D46" t="s">
        <v>1017</v>
      </c>
      <c r="E46">
        <f>Orders!E45</f>
        <v>2</v>
      </c>
      <c r="F46" s="6">
        <f>Orders!K45</f>
        <v>161000</v>
      </c>
      <c r="G46" s="7" t="s">
        <v>854</v>
      </c>
      <c r="H46" t="s">
        <v>1062</v>
      </c>
      <c r="I46" t="s">
        <v>1109</v>
      </c>
      <c r="J46">
        <v>24</v>
      </c>
      <c r="K46" t="str">
        <f t="shared" si="0"/>
        <v>student</v>
      </c>
      <c r="L46" t="str">
        <f>Orders!R45</f>
        <v>Delivered</v>
      </c>
      <c r="M46" t="str">
        <f>Orders!Q45</f>
        <v xml:space="preserve">EMI </v>
      </c>
    </row>
    <row r="47" spans="1:13" x14ac:dyDescent="0.35">
      <c r="A47" t="s">
        <v>251</v>
      </c>
      <c r="B47" t="s">
        <v>451</v>
      </c>
      <c r="C47" t="s">
        <v>681</v>
      </c>
      <c r="D47" t="s">
        <v>1017</v>
      </c>
      <c r="E47">
        <f>Orders!E46</f>
        <v>3</v>
      </c>
      <c r="F47" s="6">
        <f>Orders!K46</f>
        <v>50700</v>
      </c>
      <c r="G47" s="7" t="s">
        <v>855</v>
      </c>
      <c r="H47" t="s">
        <v>1062</v>
      </c>
      <c r="I47" t="s">
        <v>1109</v>
      </c>
      <c r="J47">
        <v>25</v>
      </c>
      <c r="K47" t="str">
        <f t="shared" si="0"/>
        <v>student</v>
      </c>
      <c r="L47" t="str">
        <f>Orders!R46</f>
        <v>Delivered</v>
      </c>
      <c r="M47" t="str">
        <f>Orders!Q46</f>
        <v>No Cost EMI</v>
      </c>
    </row>
    <row r="48" spans="1:13" x14ac:dyDescent="0.35">
      <c r="A48" t="s">
        <v>252</v>
      </c>
      <c r="B48" t="s">
        <v>452</v>
      </c>
      <c r="C48" t="s">
        <v>682</v>
      </c>
      <c r="D48" t="s">
        <v>1013</v>
      </c>
      <c r="E48">
        <f>Orders!E47</f>
        <v>14</v>
      </c>
      <c r="F48" s="6">
        <f>Orders!K47</f>
        <v>245000</v>
      </c>
      <c r="G48" s="7" t="s">
        <v>856</v>
      </c>
      <c r="H48" t="s">
        <v>1062</v>
      </c>
      <c r="I48" t="s">
        <v>1109</v>
      </c>
      <c r="J48">
        <v>27</v>
      </c>
      <c r="K48" t="str">
        <f t="shared" si="0"/>
        <v>working adults</v>
      </c>
      <c r="L48" t="str">
        <f>Orders!R47</f>
        <v>Delivered</v>
      </c>
      <c r="M48" t="str">
        <f>Orders!Q47</f>
        <v>Credit Card</v>
      </c>
    </row>
    <row r="49" spans="1:13" x14ac:dyDescent="0.35">
      <c r="A49" t="s">
        <v>253</v>
      </c>
      <c r="B49" t="s">
        <v>453</v>
      </c>
      <c r="C49" t="s">
        <v>683</v>
      </c>
      <c r="D49" t="s">
        <v>1013</v>
      </c>
      <c r="E49">
        <f>Orders!E48</f>
        <v>10</v>
      </c>
      <c r="F49" s="6">
        <f>Orders!K48</f>
        <v>300000</v>
      </c>
      <c r="G49" s="7" t="s">
        <v>857</v>
      </c>
      <c r="H49" t="s">
        <v>1062</v>
      </c>
      <c r="I49" t="s">
        <v>1109</v>
      </c>
      <c r="J49">
        <v>29</v>
      </c>
      <c r="K49" t="str">
        <f t="shared" si="0"/>
        <v>working adults</v>
      </c>
      <c r="L49" t="str">
        <f>Orders!R48</f>
        <v>Delivered</v>
      </c>
      <c r="M49" t="str">
        <f>Orders!Q48</f>
        <v>Credit Card</v>
      </c>
    </row>
    <row r="50" spans="1:13" x14ac:dyDescent="0.35">
      <c r="A50" t="s">
        <v>254</v>
      </c>
      <c r="B50" t="s">
        <v>454</v>
      </c>
      <c r="C50" t="s">
        <v>649</v>
      </c>
      <c r="D50" t="s">
        <v>1013</v>
      </c>
      <c r="E50">
        <f>Orders!E49</f>
        <v>9</v>
      </c>
      <c r="F50" s="6">
        <f>Orders!K49</f>
        <v>18900</v>
      </c>
      <c r="G50" s="7" t="s">
        <v>858</v>
      </c>
      <c r="H50" t="s">
        <v>1062</v>
      </c>
      <c r="I50" t="s">
        <v>1109</v>
      </c>
      <c r="J50">
        <v>31</v>
      </c>
      <c r="K50" t="str">
        <f t="shared" si="0"/>
        <v>working adults</v>
      </c>
      <c r="L50" t="str">
        <f>Orders!R49</f>
        <v>Delivered</v>
      </c>
      <c r="M50" t="str">
        <f>Orders!Q49</f>
        <v>Cash on delivery</v>
      </c>
    </row>
    <row r="51" spans="1:13" x14ac:dyDescent="0.35">
      <c r="A51" t="s">
        <v>255</v>
      </c>
      <c r="B51" t="s">
        <v>455</v>
      </c>
      <c r="C51" t="s">
        <v>684</v>
      </c>
      <c r="D51" t="s">
        <v>1013</v>
      </c>
      <c r="E51">
        <f>Orders!E50</f>
        <v>8</v>
      </c>
      <c r="F51" s="6">
        <f>Orders!K50</f>
        <v>11200</v>
      </c>
      <c r="G51" s="7" t="s">
        <v>859</v>
      </c>
      <c r="H51" t="s">
        <v>1062</v>
      </c>
      <c r="I51" t="s">
        <v>1109</v>
      </c>
      <c r="J51">
        <v>24</v>
      </c>
      <c r="K51" t="str">
        <f t="shared" si="0"/>
        <v>student</v>
      </c>
      <c r="L51" t="str">
        <f>Orders!R50</f>
        <v>Delivered</v>
      </c>
      <c r="M51" t="str">
        <f>Orders!Q50</f>
        <v>Cash on delivery</v>
      </c>
    </row>
    <row r="52" spans="1:13" x14ac:dyDescent="0.35">
      <c r="A52" t="s">
        <v>256</v>
      </c>
      <c r="B52" t="s">
        <v>456</v>
      </c>
      <c r="C52" t="s">
        <v>685</v>
      </c>
      <c r="D52" t="s">
        <v>1015</v>
      </c>
      <c r="E52">
        <f>Orders!E51</f>
        <v>7</v>
      </c>
      <c r="F52" s="6">
        <f>Orders!K51</f>
        <v>13230</v>
      </c>
      <c r="G52" s="7" t="s">
        <v>860</v>
      </c>
      <c r="H52" t="s">
        <v>1062</v>
      </c>
      <c r="I52" t="s">
        <v>1109</v>
      </c>
      <c r="J52">
        <v>15</v>
      </c>
      <c r="K52" t="str">
        <f t="shared" si="0"/>
        <v>student</v>
      </c>
      <c r="L52" t="str">
        <f>Orders!R51</f>
        <v>Delivered</v>
      </c>
      <c r="M52" t="str">
        <f>Orders!Q51</f>
        <v>Cash on delivery</v>
      </c>
    </row>
    <row r="53" spans="1:13" x14ac:dyDescent="0.35">
      <c r="A53" t="s">
        <v>257</v>
      </c>
      <c r="B53" t="s">
        <v>457</v>
      </c>
      <c r="C53" t="s">
        <v>686</v>
      </c>
      <c r="D53" t="s">
        <v>1014</v>
      </c>
      <c r="E53">
        <f>Orders!E52</f>
        <v>5</v>
      </c>
      <c r="F53" s="6">
        <f>Orders!K52</f>
        <v>17500</v>
      </c>
      <c r="G53" s="7" t="s">
        <v>861</v>
      </c>
      <c r="H53" t="s">
        <v>1062</v>
      </c>
      <c r="I53" t="s">
        <v>1109</v>
      </c>
      <c r="J53">
        <v>21</v>
      </c>
      <c r="K53" t="str">
        <f t="shared" si="0"/>
        <v>student</v>
      </c>
      <c r="L53" t="str">
        <f>Orders!R52</f>
        <v>Delivered</v>
      </c>
      <c r="M53" t="str">
        <f>Orders!Q52</f>
        <v>Cash on delivery</v>
      </c>
    </row>
    <row r="54" spans="1:13" x14ac:dyDescent="0.35">
      <c r="A54" t="s">
        <v>258</v>
      </c>
      <c r="B54" t="s">
        <v>458</v>
      </c>
      <c r="C54" t="s">
        <v>687</v>
      </c>
      <c r="D54" t="s">
        <v>1023</v>
      </c>
      <c r="E54">
        <f>Orders!E53</f>
        <v>4</v>
      </c>
      <c r="F54" s="6">
        <f>Orders!K53</f>
        <v>22400</v>
      </c>
      <c r="G54" s="7" t="s">
        <v>862</v>
      </c>
      <c r="H54" t="s">
        <v>1062</v>
      </c>
      <c r="I54" t="s">
        <v>1109</v>
      </c>
      <c r="J54">
        <v>31</v>
      </c>
      <c r="K54" t="str">
        <f t="shared" si="0"/>
        <v>working adults</v>
      </c>
      <c r="L54" t="str">
        <f>Orders!R53</f>
        <v>Delivered</v>
      </c>
      <c r="M54" t="str">
        <f>Orders!Q53</f>
        <v>Cash on delivery</v>
      </c>
    </row>
    <row r="55" spans="1:13" x14ac:dyDescent="0.35">
      <c r="A55" t="s">
        <v>259</v>
      </c>
      <c r="B55" t="s">
        <v>459</v>
      </c>
      <c r="C55" t="s">
        <v>688</v>
      </c>
      <c r="D55" t="s">
        <v>1017</v>
      </c>
      <c r="E55">
        <f>Orders!E54</f>
        <v>3</v>
      </c>
      <c r="F55" s="6">
        <f>Orders!K54</f>
        <v>12150</v>
      </c>
      <c r="G55" s="7" t="s">
        <v>863</v>
      </c>
      <c r="H55" t="s">
        <v>1062</v>
      </c>
      <c r="I55" t="s">
        <v>1109</v>
      </c>
      <c r="J55">
        <v>39</v>
      </c>
      <c r="K55" t="str">
        <f t="shared" si="0"/>
        <v>working adults</v>
      </c>
      <c r="L55" t="str">
        <f>Orders!R54</f>
        <v>Delivered</v>
      </c>
      <c r="M55" t="str">
        <f>Orders!Q54</f>
        <v>Credit Card</v>
      </c>
    </row>
    <row r="56" spans="1:13" x14ac:dyDescent="0.35">
      <c r="A56" t="s">
        <v>260</v>
      </c>
      <c r="B56" t="s">
        <v>460</v>
      </c>
      <c r="C56" t="s">
        <v>689</v>
      </c>
      <c r="D56" t="s">
        <v>1013</v>
      </c>
      <c r="E56">
        <f>Orders!E55</f>
        <v>2</v>
      </c>
      <c r="F56" s="6">
        <f>Orders!K55</f>
        <v>78000</v>
      </c>
      <c r="G56" s="7" t="s">
        <v>864</v>
      </c>
      <c r="H56" t="s">
        <v>1062</v>
      </c>
      <c r="I56" t="s">
        <v>1109</v>
      </c>
      <c r="J56">
        <v>45</v>
      </c>
      <c r="K56" t="str">
        <f t="shared" si="0"/>
        <v>working adults</v>
      </c>
      <c r="L56" t="str">
        <f>Orders!R55</f>
        <v>Pending</v>
      </c>
      <c r="M56" t="str">
        <f>Orders!Q55</f>
        <v>Credit Card</v>
      </c>
    </row>
    <row r="57" spans="1:13" x14ac:dyDescent="0.35">
      <c r="A57" t="s">
        <v>261</v>
      </c>
      <c r="B57" t="s">
        <v>461</v>
      </c>
      <c r="C57" t="s">
        <v>690</v>
      </c>
      <c r="D57" t="s">
        <v>1013</v>
      </c>
      <c r="E57">
        <f>Orders!E56</f>
        <v>1</v>
      </c>
      <c r="F57" s="6">
        <f>Orders!K56</f>
        <v>19950</v>
      </c>
      <c r="G57" s="7" t="s">
        <v>865</v>
      </c>
      <c r="H57" t="s">
        <v>1062</v>
      </c>
      <c r="I57" t="s">
        <v>1109</v>
      </c>
      <c r="J57">
        <v>23</v>
      </c>
      <c r="K57" t="str">
        <f t="shared" si="0"/>
        <v>student</v>
      </c>
      <c r="L57" t="str">
        <f>Orders!R56</f>
        <v>Pending</v>
      </c>
      <c r="M57" t="str">
        <f>Orders!Q56</f>
        <v xml:space="preserve">EMI </v>
      </c>
    </row>
    <row r="58" spans="1:13" x14ac:dyDescent="0.35">
      <c r="A58" t="s">
        <v>262</v>
      </c>
      <c r="B58" t="s">
        <v>462</v>
      </c>
      <c r="C58" t="s">
        <v>691</v>
      </c>
      <c r="D58" t="s">
        <v>1013</v>
      </c>
      <c r="E58">
        <f>Orders!E57</f>
        <v>11</v>
      </c>
      <c r="F58" s="6">
        <f>Orders!K57</f>
        <v>11880</v>
      </c>
      <c r="G58" s="7" t="s">
        <v>866</v>
      </c>
      <c r="H58" t="s">
        <v>1062</v>
      </c>
      <c r="I58" t="s">
        <v>1109</v>
      </c>
      <c r="J58">
        <v>31</v>
      </c>
      <c r="K58" t="str">
        <f t="shared" si="0"/>
        <v>working adults</v>
      </c>
      <c r="L58" t="str">
        <f>Orders!R57</f>
        <v>Delivered</v>
      </c>
      <c r="M58" t="str">
        <f>Orders!Q57</f>
        <v>Credit Card</v>
      </c>
    </row>
    <row r="59" spans="1:13" x14ac:dyDescent="0.35">
      <c r="A59" t="s">
        <v>263</v>
      </c>
      <c r="B59" t="s">
        <v>463</v>
      </c>
      <c r="C59" t="s">
        <v>692</v>
      </c>
      <c r="D59" t="s">
        <v>1013</v>
      </c>
      <c r="E59">
        <f>Orders!E58</f>
        <v>12</v>
      </c>
      <c r="F59" s="6">
        <f>Orders!K58</f>
        <v>15600</v>
      </c>
      <c r="G59" s="7" t="s">
        <v>867</v>
      </c>
      <c r="H59" t="s">
        <v>1062</v>
      </c>
      <c r="I59" t="s">
        <v>1109</v>
      </c>
      <c r="J59">
        <v>43</v>
      </c>
      <c r="K59" t="str">
        <f t="shared" si="0"/>
        <v>working adults</v>
      </c>
      <c r="L59" t="str">
        <f>Orders!R58</f>
        <v>Delivered</v>
      </c>
      <c r="M59" t="str">
        <f>Orders!Q58</f>
        <v>Credit Card</v>
      </c>
    </row>
    <row r="60" spans="1:13" x14ac:dyDescent="0.35">
      <c r="A60" t="s">
        <v>264</v>
      </c>
      <c r="B60" t="s">
        <v>464</v>
      </c>
      <c r="C60" t="s">
        <v>693</v>
      </c>
      <c r="D60" t="s">
        <v>1013</v>
      </c>
      <c r="E60">
        <f>Orders!E59</f>
        <v>12</v>
      </c>
      <c r="F60" s="6">
        <f>Orders!K59</f>
        <v>19152</v>
      </c>
      <c r="G60" s="7" t="s">
        <v>868</v>
      </c>
      <c r="H60" t="s">
        <v>1062</v>
      </c>
      <c r="I60" t="s">
        <v>1109</v>
      </c>
      <c r="J60">
        <v>30</v>
      </c>
      <c r="K60" t="str">
        <f t="shared" si="0"/>
        <v>working adults</v>
      </c>
      <c r="L60" t="str">
        <f>Orders!R59</f>
        <v>Delivered</v>
      </c>
      <c r="M60" t="str">
        <f>Orders!Q59</f>
        <v xml:space="preserve">EMI </v>
      </c>
    </row>
    <row r="61" spans="1:13" x14ac:dyDescent="0.35">
      <c r="A61" t="s">
        <v>265</v>
      </c>
      <c r="B61" t="s">
        <v>465</v>
      </c>
      <c r="C61" t="s">
        <v>694</v>
      </c>
      <c r="D61" t="s">
        <v>1013</v>
      </c>
      <c r="E61">
        <f>Orders!E60</f>
        <v>13</v>
      </c>
      <c r="F61" s="6">
        <f>Orders!K60</f>
        <v>53820</v>
      </c>
      <c r="G61" s="7" t="s">
        <v>869</v>
      </c>
      <c r="H61" t="s">
        <v>1062</v>
      </c>
      <c r="I61" t="s">
        <v>1109</v>
      </c>
      <c r="J61">
        <v>21</v>
      </c>
      <c r="K61" t="str">
        <f t="shared" si="0"/>
        <v>student</v>
      </c>
      <c r="L61" t="str">
        <f>Orders!R60</f>
        <v>Pending</v>
      </c>
      <c r="M61" t="str">
        <f>Orders!Q60</f>
        <v>Credit Card</v>
      </c>
    </row>
    <row r="62" spans="1:13" x14ac:dyDescent="0.35">
      <c r="A62" t="s">
        <v>266</v>
      </c>
      <c r="B62" t="s">
        <v>466</v>
      </c>
      <c r="C62" t="s">
        <v>695</v>
      </c>
      <c r="D62" t="s">
        <v>1022</v>
      </c>
      <c r="E62">
        <f>Orders!E61</f>
        <v>14</v>
      </c>
      <c r="F62" s="6">
        <f>Orders!K61</f>
        <v>85050</v>
      </c>
      <c r="G62" s="7" t="s">
        <v>870</v>
      </c>
      <c r="H62" t="s">
        <v>1062</v>
      </c>
      <c r="I62" t="s">
        <v>1109</v>
      </c>
      <c r="J62">
        <v>23</v>
      </c>
      <c r="K62" t="str">
        <f t="shared" si="0"/>
        <v>student</v>
      </c>
      <c r="L62" t="str">
        <f>Orders!R61</f>
        <v>Pending</v>
      </c>
      <c r="M62" t="str">
        <f>Orders!Q61</f>
        <v>No Cost EMI</v>
      </c>
    </row>
    <row r="63" spans="1:13" x14ac:dyDescent="0.35">
      <c r="A63" t="s">
        <v>267</v>
      </c>
      <c r="B63" t="s">
        <v>467</v>
      </c>
      <c r="C63" t="s">
        <v>699</v>
      </c>
      <c r="D63" t="s">
        <v>1029</v>
      </c>
      <c r="E63">
        <f>Orders!E62</f>
        <v>15</v>
      </c>
      <c r="F63" s="6">
        <f>Orders!K62</f>
        <v>48000</v>
      </c>
      <c r="G63" s="7" t="s">
        <v>871</v>
      </c>
      <c r="H63" t="s">
        <v>1062</v>
      </c>
      <c r="I63" t="s">
        <v>1109</v>
      </c>
      <c r="J63">
        <v>51</v>
      </c>
      <c r="K63" t="str">
        <f t="shared" si="0"/>
        <v>working adults</v>
      </c>
      <c r="L63" t="str">
        <f>Orders!R62</f>
        <v>Delivered</v>
      </c>
      <c r="M63" t="str">
        <f>Orders!Q62</f>
        <v>Buy Now Pay later</v>
      </c>
    </row>
    <row r="64" spans="1:13" x14ac:dyDescent="0.35">
      <c r="A64" t="s">
        <v>268</v>
      </c>
      <c r="B64" t="s">
        <v>468</v>
      </c>
      <c r="C64" t="s">
        <v>698</v>
      </c>
      <c r="D64" t="s">
        <v>1030</v>
      </c>
      <c r="E64">
        <f>Orders!E63</f>
        <v>16</v>
      </c>
      <c r="F64" s="6">
        <f>Orders!K63</f>
        <v>30500</v>
      </c>
      <c r="G64" s="7" t="s">
        <v>872</v>
      </c>
      <c r="H64" t="s">
        <v>1062</v>
      </c>
      <c r="I64" t="s">
        <v>1109</v>
      </c>
      <c r="J64">
        <v>34</v>
      </c>
      <c r="K64" t="str">
        <f t="shared" si="0"/>
        <v>working adults</v>
      </c>
      <c r="L64" t="str">
        <f>Orders!R63</f>
        <v>Pending</v>
      </c>
      <c r="M64" t="str">
        <f>Orders!Q63</f>
        <v>Buy Now Pay later</v>
      </c>
    </row>
    <row r="65" spans="1:13" x14ac:dyDescent="0.35">
      <c r="A65" t="s">
        <v>269</v>
      </c>
      <c r="B65" t="s">
        <v>469</v>
      </c>
      <c r="C65" t="s">
        <v>696</v>
      </c>
      <c r="D65" t="s">
        <v>1013</v>
      </c>
      <c r="E65">
        <f>Orders!E64</f>
        <v>1</v>
      </c>
      <c r="F65" s="6">
        <f>Orders!K64</f>
        <v>114750</v>
      </c>
      <c r="G65" s="7" t="s">
        <v>873</v>
      </c>
      <c r="H65" t="s">
        <v>1062</v>
      </c>
      <c r="I65" t="s">
        <v>1109</v>
      </c>
      <c r="J65">
        <v>25</v>
      </c>
      <c r="K65" t="str">
        <f t="shared" si="0"/>
        <v>student</v>
      </c>
      <c r="L65" t="str">
        <f>Orders!R64</f>
        <v>Delivered</v>
      </c>
      <c r="M65" t="str">
        <f>Orders!Q64</f>
        <v>Credit Card</v>
      </c>
    </row>
    <row r="66" spans="1:13" x14ac:dyDescent="0.35">
      <c r="A66" t="s">
        <v>270</v>
      </c>
      <c r="B66" t="s">
        <v>470</v>
      </c>
      <c r="C66" t="s">
        <v>697</v>
      </c>
      <c r="D66" t="s">
        <v>1014</v>
      </c>
      <c r="E66">
        <f>Orders!E65</f>
        <v>17</v>
      </c>
      <c r="F66" s="6">
        <f>Orders!K65</f>
        <v>11475</v>
      </c>
      <c r="G66" s="7" t="s">
        <v>874</v>
      </c>
      <c r="H66" t="s">
        <v>1062</v>
      </c>
      <c r="I66" t="s">
        <v>1109</v>
      </c>
      <c r="J66">
        <v>31</v>
      </c>
      <c r="K66" t="str">
        <f t="shared" si="0"/>
        <v>working adults</v>
      </c>
      <c r="L66" t="str">
        <f>Orders!R65</f>
        <v>Pending</v>
      </c>
      <c r="M66" t="str">
        <f>Orders!Q65</f>
        <v>Cash on delivery</v>
      </c>
    </row>
    <row r="67" spans="1:13" x14ac:dyDescent="0.35">
      <c r="A67" t="s">
        <v>271</v>
      </c>
      <c r="B67" t="s">
        <v>471</v>
      </c>
      <c r="C67" t="s">
        <v>700</v>
      </c>
      <c r="D67" t="s">
        <v>1013</v>
      </c>
      <c r="E67">
        <f>Orders!E66</f>
        <v>18</v>
      </c>
      <c r="F67" s="6">
        <f>Orders!K66</f>
        <v>19440</v>
      </c>
      <c r="G67" s="7" t="s">
        <v>875</v>
      </c>
      <c r="H67" t="s">
        <v>1062</v>
      </c>
      <c r="I67" t="s">
        <v>1109</v>
      </c>
      <c r="J67">
        <v>28</v>
      </c>
      <c r="K67" t="str">
        <f t="shared" si="0"/>
        <v>working adults</v>
      </c>
      <c r="L67" t="str">
        <f>Orders!R66</f>
        <v>Pending</v>
      </c>
      <c r="M67" t="str">
        <f>Orders!Q66</f>
        <v>Cash on delivery</v>
      </c>
    </row>
    <row r="68" spans="1:13" x14ac:dyDescent="0.35">
      <c r="A68" t="s">
        <v>272</v>
      </c>
      <c r="B68" t="s">
        <v>472</v>
      </c>
      <c r="C68" t="s">
        <v>702</v>
      </c>
      <c r="D68" t="s">
        <v>1013</v>
      </c>
      <c r="E68">
        <f>Orders!E67</f>
        <v>18</v>
      </c>
      <c r="F68" s="6">
        <f>Orders!K67</f>
        <v>24300</v>
      </c>
      <c r="G68" s="7" t="s">
        <v>876</v>
      </c>
      <c r="H68" t="s">
        <v>1062</v>
      </c>
      <c r="I68" t="s">
        <v>1109</v>
      </c>
      <c r="J68">
        <v>27</v>
      </c>
      <c r="K68" t="str">
        <f t="shared" si="0"/>
        <v>working adults</v>
      </c>
      <c r="L68" t="str">
        <f>Orders!R67</f>
        <v>Pending</v>
      </c>
      <c r="M68" t="str">
        <f>Orders!Q67</f>
        <v>Credit Card</v>
      </c>
    </row>
    <row r="69" spans="1:13" x14ac:dyDescent="0.35">
      <c r="A69" t="s">
        <v>273</v>
      </c>
      <c r="B69" t="s">
        <v>473</v>
      </c>
      <c r="C69" t="s">
        <v>703</v>
      </c>
      <c r="D69" t="s">
        <v>1013</v>
      </c>
      <c r="E69">
        <f>Orders!E68</f>
        <v>2</v>
      </c>
      <c r="F69" s="6">
        <f>Orders!K68</f>
        <v>78000</v>
      </c>
      <c r="G69" s="7" t="s">
        <v>877</v>
      </c>
      <c r="H69" t="s">
        <v>1062</v>
      </c>
      <c r="I69" t="s">
        <v>1109</v>
      </c>
      <c r="J69">
        <v>21</v>
      </c>
      <c r="K69" t="str">
        <f t="shared" si="0"/>
        <v>student</v>
      </c>
      <c r="L69" t="str">
        <f>Orders!R68</f>
        <v>Pending</v>
      </c>
      <c r="M69" t="str">
        <f>Orders!Q68</f>
        <v>No Cost EMI</v>
      </c>
    </row>
    <row r="70" spans="1:13" x14ac:dyDescent="0.35">
      <c r="A70" t="s">
        <v>274</v>
      </c>
      <c r="B70" t="s">
        <v>474</v>
      </c>
      <c r="C70" t="s">
        <v>704</v>
      </c>
      <c r="D70" t="s">
        <v>1013</v>
      </c>
      <c r="E70">
        <f>Orders!E69</f>
        <v>3</v>
      </c>
      <c r="F70" s="6">
        <f>Orders!K69</f>
        <v>15600</v>
      </c>
      <c r="G70" s="7" t="s">
        <v>878</v>
      </c>
      <c r="H70" t="s">
        <v>1067</v>
      </c>
      <c r="I70" t="s">
        <v>1111</v>
      </c>
      <c r="J70">
        <v>22</v>
      </c>
      <c r="K70" t="str">
        <f t="shared" ref="K70:K133" si="1">IF(J70&lt;=25,"student",IF(J70&lt;60,"working adults","Senior Citizen"))</f>
        <v>student</v>
      </c>
      <c r="L70" t="str">
        <f>Orders!R69</f>
        <v>Pending</v>
      </c>
      <c r="M70" t="str">
        <f>Orders!Q69</f>
        <v>Credit Card</v>
      </c>
    </row>
    <row r="71" spans="1:13" x14ac:dyDescent="0.35">
      <c r="A71" t="s">
        <v>275</v>
      </c>
      <c r="B71" t="s">
        <v>475</v>
      </c>
      <c r="C71" t="s">
        <v>705</v>
      </c>
      <c r="D71" t="s">
        <v>1030</v>
      </c>
      <c r="E71">
        <f>Orders!E70</f>
        <v>4</v>
      </c>
      <c r="F71" s="6">
        <f>Orders!K70</f>
        <v>26000</v>
      </c>
      <c r="G71" s="7" t="s">
        <v>879</v>
      </c>
      <c r="H71" t="s">
        <v>1057</v>
      </c>
      <c r="I71" t="s">
        <v>1106</v>
      </c>
      <c r="J71">
        <v>26</v>
      </c>
      <c r="K71" t="str">
        <f t="shared" si="1"/>
        <v>working adults</v>
      </c>
      <c r="L71" t="str">
        <f>Orders!R70</f>
        <v>Pending</v>
      </c>
      <c r="M71" t="str">
        <f>Orders!Q70</f>
        <v>Credit Card</v>
      </c>
    </row>
    <row r="72" spans="1:13" x14ac:dyDescent="0.35">
      <c r="A72" t="s">
        <v>276</v>
      </c>
      <c r="B72" t="s">
        <v>476</v>
      </c>
      <c r="C72" t="s">
        <v>706</v>
      </c>
      <c r="D72" t="s">
        <v>1017</v>
      </c>
      <c r="E72">
        <f>Orders!E71</f>
        <v>5</v>
      </c>
      <c r="F72" s="6">
        <f>Orders!K71</f>
        <v>39000</v>
      </c>
      <c r="G72" s="7" t="s">
        <v>880</v>
      </c>
      <c r="H72" t="s">
        <v>1061</v>
      </c>
      <c r="I72" t="s">
        <v>1099</v>
      </c>
      <c r="J72">
        <v>36</v>
      </c>
      <c r="K72" t="str">
        <f t="shared" si="1"/>
        <v>working adults</v>
      </c>
      <c r="L72" t="str">
        <f>Orders!R71</f>
        <v>Pending</v>
      </c>
      <c r="M72" t="str">
        <f>Orders!Q71</f>
        <v>Credit Card</v>
      </c>
    </row>
    <row r="73" spans="1:13" x14ac:dyDescent="0.35">
      <c r="A73" t="s">
        <v>277</v>
      </c>
      <c r="B73" t="s">
        <v>477</v>
      </c>
      <c r="C73" t="s">
        <v>707</v>
      </c>
      <c r="D73" t="s">
        <v>1017</v>
      </c>
      <c r="E73">
        <f>Orders!E72</f>
        <v>6</v>
      </c>
      <c r="F73" s="6">
        <f>Orders!K72</f>
        <v>8100</v>
      </c>
      <c r="G73" s="7" t="s">
        <v>881</v>
      </c>
      <c r="H73" t="s">
        <v>1061</v>
      </c>
      <c r="I73" t="s">
        <v>1099</v>
      </c>
      <c r="J73">
        <v>32</v>
      </c>
      <c r="K73" t="str">
        <f t="shared" si="1"/>
        <v>working adults</v>
      </c>
      <c r="L73" t="str">
        <f>Orders!R72</f>
        <v>Pending</v>
      </c>
      <c r="M73" t="str">
        <f>Orders!Q72</f>
        <v>Cash on delivery</v>
      </c>
    </row>
    <row r="74" spans="1:13" x14ac:dyDescent="0.35">
      <c r="A74" t="s">
        <v>278</v>
      </c>
      <c r="B74" t="s">
        <v>478</v>
      </c>
      <c r="C74" t="s">
        <v>708</v>
      </c>
      <c r="D74" t="s">
        <v>1017</v>
      </c>
      <c r="E74">
        <f>Orders!E73</f>
        <v>7</v>
      </c>
      <c r="F74" s="6">
        <f>Orders!K73</f>
        <v>7560</v>
      </c>
      <c r="G74" s="7" t="s">
        <v>882</v>
      </c>
      <c r="H74" t="s">
        <v>1068</v>
      </c>
      <c r="I74" t="s">
        <v>1104</v>
      </c>
      <c r="J74">
        <v>41</v>
      </c>
      <c r="K74" t="str">
        <f t="shared" si="1"/>
        <v>working adults</v>
      </c>
      <c r="L74" t="str">
        <f>Orders!R73</f>
        <v>Pending</v>
      </c>
      <c r="M74" t="str">
        <f>Orders!Q73</f>
        <v>Cash on delivery</v>
      </c>
    </row>
    <row r="75" spans="1:13" x14ac:dyDescent="0.35">
      <c r="A75" t="s">
        <v>279</v>
      </c>
      <c r="B75" t="s">
        <v>479</v>
      </c>
      <c r="C75" t="s">
        <v>709</v>
      </c>
      <c r="D75" t="s">
        <v>1014</v>
      </c>
      <c r="E75">
        <f>Orders!E74</f>
        <v>8</v>
      </c>
      <c r="F75" s="6">
        <f>Orders!K74</f>
        <v>2240</v>
      </c>
      <c r="G75" s="7" t="s">
        <v>883</v>
      </c>
      <c r="H75" t="s">
        <v>1069</v>
      </c>
      <c r="I75" t="s">
        <v>1103</v>
      </c>
      <c r="J75">
        <v>41</v>
      </c>
      <c r="K75" t="str">
        <f t="shared" si="1"/>
        <v>working adults</v>
      </c>
      <c r="L75" t="str">
        <f>Orders!R74</f>
        <v>Pending</v>
      </c>
      <c r="M75" t="str">
        <f>Orders!Q74</f>
        <v>Cash on delivery</v>
      </c>
    </row>
    <row r="76" spans="1:13" x14ac:dyDescent="0.35">
      <c r="A76" t="s">
        <v>280</v>
      </c>
      <c r="B76" t="s">
        <v>480</v>
      </c>
      <c r="C76" t="s">
        <v>710</v>
      </c>
      <c r="D76" t="s">
        <v>1018</v>
      </c>
      <c r="E76">
        <f>Orders!E75</f>
        <v>9</v>
      </c>
      <c r="F76" s="6">
        <f>Orders!K75</f>
        <v>49572</v>
      </c>
      <c r="G76" s="7" t="s">
        <v>884</v>
      </c>
      <c r="H76" t="s">
        <v>1043</v>
      </c>
      <c r="I76" t="s">
        <v>1100</v>
      </c>
      <c r="J76">
        <v>32</v>
      </c>
      <c r="K76" t="str">
        <f t="shared" si="1"/>
        <v>working adults</v>
      </c>
      <c r="L76" t="str">
        <f>Orders!R75</f>
        <v>Pending</v>
      </c>
      <c r="M76" t="str">
        <f>Orders!Q75</f>
        <v>Cash on delivery</v>
      </c>
    </row>
    <row r="77" spans="1:13" x14ac:dyDescent="0.35">
      <c r="A77" t="s">
        <v>281</v>
      </c>
      <c r="B77" t="s">
        <v>481</v>
      </c>
      <c r="C77" t="s">
        <v>711</v>
      </c>
      <c r="D77" t="s">
        <v>1014</v>
      </c>
      <c r="E77">
        <f>Orders!E76</f>
        <v>10</v>
      </c>
      <c r="F77" s="6">
        <f>Orders!K76</f>
        <v>19250</v>
      </c>
      <c r="G77" s="7" t="s">
        <v>885</v>
      </c>
      <c r="H77" t="s">
        <v>1060</v>
      </c>
      <c r="I77" t="s">
        <v>1109</v>
      </c>
      <c r="J77">
        <v>26</v>
      </c>
      <c r="K77" t="str">
        <f t="shared" si="1"/>
        <v>working adults</v>
      </c>
      <c r="L77" t="str">
        <f>Orders!R76</f>
        <v>Pending</v>
      </c>
      <c r="M77" t="str">
        <f>Orders!Q76</f>
        <v>Cash on delivery</v>
      </c>
    </row>
    <row r="78" spans="1:13" x14ac:dyDescent="0.35">
      <c r="A78" t="s">
        <v>282</v>
      </c>
      <c r="B78" t="s">
        <v>482</v>
      </c>
      <c r="C78" t="s">
        <v>683</v>
      </c>
      <c r="D78" t="s">
        <v>1013</v>
      </c>
      <c r="E78">
        <f>Orders!E77</f>
        <v>1</v>
      </c>
      <c r="F78" s="6">
        <f>Orders!K77</f>
        <v>40500</v>
      </c>
      <c r="G78" s="7" t="s">
        <v>886</v>
      </c>
      <c r="H78" t="s">
        <v>1070</v>
      </c>
      <c r="I78" t="s">
        <v>1099</v>
      </c>
      <c r="J78">
        <v>24</v>
      </c>
      <c r="K78" t="str">
        <f t="shared" si="1"/>
        <v>student</v>
      </c>
      <c r="L78" t="str">
        <f>Orders!R77</f>
        <v>Pending</v>
      </c>
      <c r="M78" t="str">
        <f>Orders!Q77</f>
        <v>Cash on delivery</v>
      </c>
    </row>
    <row r="79" spans="1:13" x14ac:dyDescent="0.35">
      <c r="A79" t="s">
        <v>283</v>
      </c>
      <c r="B79" t="s">
        <v>483</v>
      </c>
      <c r="C79" t="s">
        <v>701</v>
      </c>
      <c r="D79" t="s">
        <v>1013</v>
      </c>
      <c r="E79">
        <f>Orders!E78</f>
        <v>2</v>
      </c>
      <c r="F79" s="6">
        <f>Orders!K78</f>
        <v>39200</v>
      </c>
      <c r="G79" s="7" t="s">
        <v>887</v>
      </c>
      <c r="H79" t="s">
        <v>1071</v>
      </c>
      <c r="I79" t="s">
        <v>1099</v>
      </c>
      <c r="J79">
        <v>24</v>
      </c>
      <c r="K79" t="str">
        <f t="shared" si="1"/>
        <v>student</v>
      </c>
      <c r="L79" t="str">
        <f>Orders!R78</f>
        <v>Pending</v>
      </c>
      <c r="M79" t="str">
        <f>Orders!Q78</f>
        <v>Cash on delivery</v>
      </c>
    </row>
    <row r="80" spans="1:13" x14ac:dyDescent="0.35">
      <c r="A80" t="s">
        <v>284</v>
      </c>
      <c r="B80" t="s">
        <v>484</v>
      </c>
      <c r="C80" t="s">
        <v>712</v>
      </c>
      <c r="D80" t="s">
        <v>1031</v>
      </c>
      <c r="E80">
        <f>Orders!E79</f>
        <v>3</v>
      </c>
      <c r="F80" s="6">
        <f>Orders!K79</f>
        <v>4200</v>
      </c>
      <c r="G80" s="7" t="s">
        <v>888</v>
      </c>
      <c r="H80" t="s">
        <v>1072</v>
      </c>
      <c r="I80" t="s">
        <v>1112</v>
      </c>
      <c r="J80">
        <v>25</v>
      </c>
      <c r="K80" t="str">
        <f t="shared" si="1"/>
        <v>student</v>
      </c>
      <c r="L80" t="str">
        <f>Orders!R79</f>
        <v>Delivered</v>
      </c>
      <c r="M80" t="str">
        <f>Orders!Q79</f>
        <v>Cash on delivery</v>
      </c>
    </row>
    <row r="81" spans="1:13" x14ac:dyDescent="0.35">
      <c r="A81" t="s">
        <v>285</v>
      </c>
      <c r="B81" t="s">
        <v>485</v>
      </c>
      <c r="C81" t="s">
        <v>713</v>
      </c>
      <c r="D81" t="s">
        <v>1013</v>
      </c>
      <c r="E81">
        <f>Orders!E80</f>
        <v>4</v>
      </c>
      <c r="F81" s="6">
        <f>Orders!K80</f>
        <v>1400</v>
      </c>
      <c r="G81" s="7" t="s">
        <v>889</v>
      </c>
      <c r="H81" t="s">
        <v>1063</v>
      </c>
      <c r="I81" t="s">
        <v>1110</v>
      </c>
      <c r="J81">
        <v>26</v>
      </c>
      <c r="K81" t="str">
        <f t="shared" si="1"/>
        <v>working adults</v>
      </c>
      <c r="L81" t="str">
        <f>Orders!R80</f>
        <v>Delivered</v>
      </c>
      <c r="M81" t="str">
        <f>Orders!Q80</f>
        <v>Cash on delivery</v>
      </c>
    </row>
    <row r="82" spans="1:13" x14ac:dyDescent="0.35">
      <c r="A82" t="s">
        <v>286</v>
      </c>
      <c r="B82" t="s">
        <v>486</v>
      </c>
      <c r="C82" t="s">
        <v>714</v>
      </c>
      <c r="D82" t="s">
        <v>1030</v>
      </c>
      <c r="E82">
        <f>Orders!E81</f>
        <v>5</v>
      </c>
      <c r="F82" s="6">
        <f>Orders!K81</f>
        <v>1225</v>
      </c>
      <c r="G82" s="7" t="s">
        <v>890</v>
      </c>
      <c r="H82" t="s">
        <v>1063</v>
      </c>
      <c r="I82" t="s">
        <v>1110</v>
      </c>
      <c r="J82">
        <v>20</v>
      </c>
      <c r="K82" t="str">
        <f t="shared" si="1"/>
        <v>student</v>
      </c>
      <c r="L82" t="str">
        <f>Orders!R81</f>
        <v>Delivered</v>
      </c>
      <c r="M82" t="str">
        <f>Orders!Q81</f>
        <v>UPI</v>
      </c>
    </row>
    <row r="83" spans="1:13" x14ac:dyDescent="0.35">
      <c r="A83" t="s">
        <v>287</v>
      </c>
      <c r="B83" t="s">
        <v>487</v>
      </c>
      <c r="C83" t="s">
        <v>725</v>
      </c>
      <c r="D83" t="s">
        <v>1022</v>
      </c>
      <c r="E83">
        <f>Orders!E82</f>
        <v>6</v>
      </c>
      <c r="F83" s="6">
        <f>Orders!K82</f>
        <v>4200</v>
      </c>
      <c r="G83" s="7" t="s">
        <v>891</v>
      </c>
      <c r="H83" t="s">
        <v>1066</v>
      </c>
      <c r="I83" t="s">
        <v>1066</v>
      </c>
      <c r="J83">
        <v>32</v>
      </c>
      <c r="K83" t="str">
        <f t="shared" si="1"/>
        <v>working adults</v>
      </c>
      <c r="L83" t="str">
        <f>Orders!R82</f>
        <v>Delivered</v>
      </c>
      <c r="M83" t="str">
        <f>Orders!Q82</f>
        <v>UPI</v>
      </c>
    </row>
    <row r="84" spans="1:13" x14ac:dyDescent="0.35">
      <c r="A84" t="s">
        <v>288</v>
      </c>
      <c r="B84" t="s">
        <v>488</v>
      </c>
      <c r="C84" t="s">
        <v>726</v>
      </c>
      <c r="D84" t="s">
        <v>1022</v>
      </c>
      <c r="E84">
        <f>Orders!E83</f>
        <v>7</v>
      </c>
      <c r="F84" s="6">
        <f>Orders!K83</f>
        <v>6860</v>
      </c>
      <c r="G84" s="7" t="s">
        <v>892</v>
      </c>
      <c r="H84" t="s">
        <v>1050</v>
      </c>
      <c r="I84" t="s">
        <v>1102</v>
      </c>
      <c r="J84">
        <v>33</v>
      </c>
      <c r="K84" t="str">
        <f t="shared" si="1"/>
        <v>working adults</v>
      </c>
      <c r="L84" t="str">
        <f>Orders!R83</f>
        <v>Delivered</v>
      </c>
      <c r="M84" t="str">
        <f>Orders!Q83</f>
        <v>UPI</v>
      </c>
    </row>
    <row r="85" spans="1:13" x14ac:dyDescent="0.35">
      <c r="A85" t="s">
        <v>289</v>
      </c>
      <c r="B85" t="s">
        <v>489</v>
      </c>
      <c r="C85" t="s">
        <v>727</v>
      </c>
      <c r="D85" t="s">
        <v>1018</v>
      </c>
      <c r="E85">
        <f>Orders!E84</f>
        <v>8</v>
      </c>
      <c r="F85" s="6">
        <f>Orders!K84</f>
        <v>13440</v>
      </c>
      <c r="G85" s="7" t="s">
        <v>893</v>
      </c>
      <c r="H85" t="s">
        <v>1070</v>
      </c>
      <c r="I85" t="s">
        <v>1099</v>
      </c>
      <c r="J85">
        <v>45</v>
      </c>
      <c r="K85" t="str">
        <f t="shared" si="1"/>
        <v>working adults</v>
      </c>
      <c r="L85" t="str">
        <f>Orders!R84</f>
        <v>Pending</v>
      </c>
      <c r="M85" t="str">
        <f>Orders!Q84</f>
        <v>UPI</v>
      </c>
    </row>
    <row r="86" spans="1:13" x14ac:dyDescent="0.35">
      <c r="A86" t="s">
        <v>290</v>
      </c>
      <c r="B86" t="s">
        <v>490</v>
      </c>
      <c r="C86" t="s">
        <v>728</v>
      </c>
      <c r="D86" t="s">
        <v>1018</v>
      </c>
      <c r="E86">
        <f>Orders!E85</f>
        <v>9</v>
      </c>
      <c r="F86" s="6">
        <f>Orders!K85</f>
        <v>11340</v>
      </c>
      <c r="G86" s="7" t="s">
        <v>894</v>
      </c>
      <c r="H86" t="s">
        <v>1070</v>
      </c>
      <c r="I86" t="s">
        <v>1099</v>
      </c>
      <c r="J86">
        <v>47</v>
      </c>
      <c r="K86" t="str">
        <f t="shared" si="1"/>
        <v>working adults</v>
      </c>
      <c r="L86" t="str">
        <f>Orders!R85</f>
        <v>Delivered</v>
      </c>
      <c r="M86" t="str">
        <f>Orders!Q85</f>
        <v>UPI</v>
      </c>
    </row>
    <row r="87" spans="1:13" x14ac:dyDescent="0.35">
      <c r="A87" t="s">
        <v>291</v>
      </c>
      <c r="B87" t="s">
        <v>491</v>
      </c>
      <c r="C87" t="s">
        <v>715</v>
      </c>
      <c r="D87" t="s">
        <v>1013</v>
      </c>
      <c r="E87">
        <f>Orders!E86</f>
        <v>1</v>
      </c>
      <c r="F87" s="6">
        <f>Orders!K86</f>
        <v>141750</v>
      </c>
      <c r="G87" s="7" t="s">
        <v>895</v>
      </c>
      <c r="H87" t="s">
        <v>1062</v>
      </c>
      <c r="I87" t="s">
        <v>1109</v>
      </c>
      <c r="J87">
        <v>27</v>
      </c>
      <c r="K87" t="str">
        <f t="shared" si="1"/>
        <v>working adults</v>
      </c>
      <c r="L87" t="str">
        <f>Orders!R86</f>
        <v>Pending</v>
      </c>
      <c r="M87" t="str">
        <f>Orders!Q86</f>
        <v>Credit Card</v>
      </c>
    </row>
    <row r="88" spans="1:13" x14ac:dyDescent="0.35">
      <c r="A88" t="s">
        <v>292</v>
      </c>
      <c r="B88" t="s">
        <v>492</v>
      </c>
      <c r="C88" t="s">
        <v>729</v>
      </c>
      <c r="D88" t="s">
        <v>1023</v>
      </c>
      <c r="E88">
        <f>Orders!E87</f>
        <v>2</v>
      </c>
      <c r="F88" s="6">
        <f>Orders!K87</f>
        <v>31250</v>
      </c>
      <c r="G88" s="7" t="s">
        <v>896</v>
      </c>
      <c r="H88" t="s">
        <v>1062</v>
      </c>
      <c r="I88" t="s">
        <v>1109</v>
      </c>
      <c r="J88">
        <v>24</v>
      </c>
      <c r="K88" t="str">
        <f t="shared" si="1"/>
        <v>student</v>
      </c>
      <c r="L88" t="str">
        <f>Orders!R87</f>
        <v>Pending</v>
      </c>
      <c r="M88" t="str">
        <f>Orders!Q87</f>
        <v>Credit Card</v>
      </c>
    </row>
    <row r="89" spans="1:13" x14ac:dyDescent="0.35">
      <c r="A89" t="s">
        <v>293</v>
      </c>
      <c r="B89" t="s">
        <v>493</v>
      </c>
      <c r="C89" t="s">
        <v>730</v>
      </c>
      <c r="D89" t="s">
        <v>1032</v>
      </c>
      <c r="E89">
        <f>Orders!E88</f>
        <v>3</v>
      </c>
      <c r="F89" s="6">
        <f>Orders!K88</f>
        <v>1470</v>
      </c>
      <c r="G89" s="7" t="s">
        <v>897</v>
      </c>
      <c r="H89" t="s">
        <v>1062</v>
      </c>
      <c r="I89" t="s">
        <v>1109</v>
      </c>
      <c r="J89">
        <v>29</v>
      </c>
      <c r="K89" t="str">
        <f t="shared" si="1"/>
        <v>working adults</v>
      </c>
      <c r="L89" t="str">
        <f>Orders!R88</f>
        <v>Delivered</v>
      </c>
      <c r="M89" t="str">
        <f>Orders!Q88</f>
        <v>UPI</v>
      </c>
    </row>
    <row r="90" spans="1:13" x14ac:dyDescent="0.35">
      <c r="A90" t="s">
        <v>294</v>
      </c>
      <c r="B90" t="s">
        <v>494</v>
      </c>
      <c r="C90" t="s">
        <v>731</v>
      </c>
      <c r="D90" t="s">
        <v>1032</v>
      </c>
      <c r="E90">
        <f>Orders!E89</f>
        <v>4</v>
      </c>
      <c r="F90" s="6">
        <f>Orders!K89</f>
        <v>3640</v>
      </c>
      <c r="G90" s="7" t="s">
        <v>898</v>
      </c>
      <c r="H90" t="s">
        <v>1056</v>
      </c>
      <c r="I90" t="s">
        <v>1106</v>
      </c>
      <c r="J90">
        <v>37</v>
      </c>
      <c r="K90" t="str">
        <f t="shared" si="1"/>
        <v>working adults</v>
      </c>
      <c r="L90" t="str">
        <f>Orders!R89</f>
        <v>Delivered</v>
      </c>
      <c r="M90" t="str">
        <f>Orders!Q89</f>
        <v>UPI</v>
      </c>
    </row>
    <row r="91" spans="1:13" x14ac:dyDescent="0.35">
      <c r="A91" t="s">
        <v>295</v>
      </c>
      <c r="B91" t="s">
        <v>495</v>
      </c>
      <c r="C91" t="s">
        <v>732</v>
      </c>
      <c r="D91" t="s">
        <v>1033</v>
      </c>
      <c r="E91">
        <f>Orders!E90</f>
        <v>5</v>
      </c>
      <c r="F91" s="6">
        <f>Orders!K90</f>
        <v>9425</v>
      </c>
      <c r="G91" s="7" t="s">
        <v>899</v>
      </c>
      <c r="H91" t="s">
        <v>1070</v>
      </c>
      <c r="I91" t="s">
        <v>1099</v>
      </c>
      <c r="J91">
        <v>39</v>
      </c>
      <c r="K91" t="str">
        <f t="shared" si="1"/>
        <v>working adults</v>
      </c>
      <c r="L91" t="str">
        <f>Orders!R90</f>
        <v>Delivered</v>
      </c>
      <c r="M91" t="str">
        <f>Orders!Q90</f>
        <v>Credit Card</v>
      </c>
    </row>
    <row r="92" spans="1:13" x14ac:dyDescent="0.35">
      <c r="A92" t="s">
        <v>296</v>
      </c>
      <c r="B92" t="s">
        <v>496</v>
      </c>
      <c r="C92" t="s">
        <v>733</v>
      </c>
      <c r="D92" t="s">
        <v>1033</v>
      </c>
      <c r="E92">
        <f>Orders!E91</f>
        <v>7</v>
      </c>
      <c r="F92" s="6">
        <f>Orders!K91</f>
        <v>22750</v>
      </c>
      <c r="G92" s="7" t="s">
        <v>900</v>
      </c>
      <c r="H92" t="s">
        <v>1073</v>
      </c>
      <c r="I92" t="s">
        <v>1104</v>
      </c>
      <c r="J92">
        <v>43</v>
      </c>
      <c r="K92" t="str">
        <f t="shared" si="1"/>
        <v>working adults</v>
      </c>
      <c r="L92" t="str">
        <f>Orders!R91</f>
        <v>Delivered</v>
      </c>
      <c r="M92" t="str">
        <f>Orders!Q91</f>
        <v>Credit Card</v>
      </c>
    </row>
    <row r="93" spans="1:13" x14ac:dyDescent="0.35">
      <c r="A93" t="s">
        <v>297</v>
      </c>
      <c r="B93" t="s">
        <v>497</v>
      </c>
      <c r="C93" t="s">
        <v>734</v>
      </c>
      <c r="D93" t="s">
        <v>1013</v>
      </c>
      <c r="E93">
        <f>Orders!E92</f>
        <v>8</v>
      </c>
      <c r="F93" s="6">
        <f>Orders!K92</f>
        <v>8948.7999999999993</v>
      </c>
      <c r="G93" s="7" t="s">
        <v>901</v>
      </c>
      <c r="H93" t="s">
        <v>1066</v>
      </c>
      <c r="I93" t="s">
        <v>1066</v>
      </c>
      <c r="J93">
        <v>28</v>
      </c>
      <c r="K93" t="str">
        <f t="shared" si="1"/>
        <v>working adults</v>
      </c>
      <c r="L93" t="str">
        <f>Orders!R92</f>
        <v>Pending</v>
      </c>
      <c r="M93" t="str">
        <f>Orders!Q92</f>
        <v>UPI</v>
      </c>
    </row>
    <row r="94" spans="1:13" x14ac:dyDescent="0.35">
      <c r="A94" t="s">
        <v>298</v>
      </c>
      <c r="B94" t="s">
        <v>498</v>
      </c>
      <c r="C94" t="s">
        <v>691</v>
      </c>
      <c r="D94" t="s">
        <v>1013</v>
      </c>
      <c r="E94">
        <f>Orders!E93</f>
        <v>8</v>
      </c>
      <c r="F94" s="6">
        <f>Orders!K93</f>
        <v>12960</v>
      </c>
      <c r="G94" s="7" t="s">
        <v>902</v>
      </c>
      <c r="H94" t="s">
        <v>1062</v>
      </c>
      <c r="I94" t="s">
        <v>1109</v>
      </c>
      <c r="J94">
        <v>25</v>
      </c>
      <c r="K94" t="str">
        <f t="shared" si="1"/>
        <v>student</v>
      </c>
      <c r="L94" t="str">
        <f>Orders!R93</f>
        <v>Pending</v>
      </c>
      <c r="M94" t="str">
        <f>Orders!Q93</f>
        <v>UPI</v>
      </c>
    </row>
    <row r="95" spans="1:13" x14ac:dyDescent="0.35">
      <c r="A95" t="s">
        <v>299</v>
      </c>
      <c r="B95" t="s">
        <v>499</v>
      </c>
      <c r="C95" t="s">
        <v>716</v>
      </c>
      <c r="D95" t="s">
        <v>1013</v>
      </c>
      <c r="E95">
        <f>Orders!E94</f>
        <v>8</v>
      </c>
      <c r="F95" s="6">
        <f>Orders!K94</f>
        <v>35880</v>
      </c>
      <c r="G95" s="7" t="s">
        <v>903</v>
      </c>
      <c r="H95" t="s">
        <v>1057</v>
      </c>
      <c r="I95" t="s">
        <v>1106</v>
      </c>
      <c r="J95">
        <v>23</v>
      </c>
      <c r="K95" t="str">
        <f t="shared" si="1"/>
        <v>student</v>
      </c>
      <c r="L95" t="str">
        <f>Orders!R94</f>
        <v>Pending</v>
      </c>
      <c r="M95" t="str">
        <f>Orders!Q94</f>
        <v>Credit Card</v>
      </c>
    </row>
    <row r="96" spans="1:13" x14ac:dyDescent="0.35">
      <c r="A96" t="s">
        <v>300</v>
      </c>
      <c r="B96" t="s">
        <v>500</v>
      </c>
      <c r="C96" t="s">
        <v>717</v>
      </c>
      <c r="D96" t="s">
        <v>1032</v>
      </c>
      <c r="E96">
        <f>Orders!E95</f>
        <v>9</v>
      </c>
      <c r="F96" s="6">
        <f>Orders!K95</f>
        <v>94770</v>
      </c>
      <c r="G96" s="7" t="s">
        <v>904</v>
      </c>
      <c r="H96" t="s">
        <v>1074</v>
      </c>
      <c r="I96" t="s">
        <v>1099</v>
      </c>
      <c r="J96">
        <v>65</v>
      </c>
      <c r="K96" t="str">
        <f t="shared" si="1"/>
        <v>Senior Citizen</v>
      </c>
      <c r="L96" t="str">
        <f>Orders!R95</f>
        <v>Pending</v>
      </c>
      <c r="M96" t="str">
        <f>Orders!Q95</f>
        <v>Credit Card</v>
      </c>
    </row>
    <row r="97" spans="1:13" x14ac:dyDescent="0.35">
      <c r="A97" t="s">
        <v>301</v>
      </c>
      <c r="B97" t="s">
        <v>501</v>
      </c>
      <c r="C97" t="s">
        <v>718</v>
      </c>
      <c r="D97" t="s">
        <v>1014</v>
      </c>
      <c r="E97">
        <f>Orders!E96</f>
        <v>6</v>
      </c>
      <c r="F97" s="6">
        <f>Orders!K96</f>
        <v>4620</v>
      </c>
      <c r="G97" s="7" t="s">
        <v>905</v>
      </c>
      <c r="H97" t="s">
        <v>1066</v>
      </c>
      <c r="I97" t="s">
        <v>1066</v>
      </c>
      <c r="J97">
        <v>33</v>
      </c>
      <c r="K97" t="str">
        <f t="shared" si="1"/>
        <v>working adults</v>
      </c>
      <c r="L97" t="str">
        <f>Orders!R96</f>
        <v>Pending</v>
      </c>
      <c r="M97" t="str">
        <f>Orders!Q96</f>
        <v>Credit Card</v>
      </c>
    </row>
    <row r="98" spans="1:13" x14ac:dyDescent="0.35">
      <c r="A98" t="s">
        <v>302</v>
      </c>
      <c r="B98" t="s">
        <v>502</v>
      </c>
      <c r="C98" t="s">
        <v>735</v>
      </c>
      <c r="D98" t="s">
        <v>1013</v>
      </c>
      <c r="E98">
        <f>Orders!E97</f>
        <v>5</v>
      </c>
      <c r="F98" s="6">
        <f>Orders!K97</f>
        <v>8400</v>
      </c>
      <c r="G98" s="7" t="s">
        <v>906</v>
      </c>
      <c r="H98" t="s">
        <v>1075</v>
      </c>
      <c r="I98" t="s">
        <v>1104</v>
      </c>
      <c r="J98">
        <v>31</v>
      </c>
      <c r="K98" t="str">
        <f t="shared" si="1"/>
        <v>working adults</v>
      </c>
      <c r="L98" t="str">
        <f>Orders!R97</f>
        <v>Pending</v>
      </c>
      <c r="M98" t="str">
        <f>Orders!Q97</f>
        <v>UPI</v>
      </c>
    </row>
    <row r="99" spans="1:13" x14ac:dyDescent="0.35">
      <c r="A99" t="s">
        <v>303</v>
      </c>
      <c r="B99" t="s">
        <v>503</v>
      </c>
      <c r="C99" t="s">
        <v>736</v>
      </c>
      <c r="D99" t="s">
        <v>1014</v>
      </c>
      <c r="E99">
        <f>Orders!E98</f>
        <v>4</v>
      </c>
      <c r="F99" s="6">
        <f>Orders!K98</f>
        <v>1120</v>
      </c>
      <c r="G99" s="7" t="s">
        <v>907</v>
      </c>
      <c r="H99" t="s">
        <v>1066</v>
      </c>
      <c r="I99" t="s">
        <v>1066</v>
      </c>
      <c r="J99">
        <v>21</v>
      </c>
      <c r="K99" t="str">
        <f t="shared" si="1"/>
        <v>student</v>
      </c>
      <c r="L99" t="str">
        <f>Orders!R98</f>
        <v>Pending</v>
      </c>
      <c r="M99" t="str">
        <f>Orders!Q98</f>
        <v>UPI</v>
      </c>
    </row>
    <row r="100" spans="1:13" x14ac:dyDescent="0.35">
      <c r="A100" t="s">
        <v>304</v>
      </c>
      <c r="B100" t="s">
        <v>504</v>
      </c>
      <c r="C100" t="s">
        <v>653</v>
      </c>
      <c r="D100" t="s">
        <v>1016</v>
      </c>
      <c r="E100">
        <f>Orders!E99</f>
        <v>3</v>
      </c>
      <c r="F100" s="6">
        <f>Orders!K99</f>
        <v>2310</v>
      </c>
      <c r="G100" s="7" t="s">
        <v>908</v>
      </c>
      <c r="H100" t="s">
        <v>1076</v>
      </c>
      <c r="I100" t="s">
        <v>1113</v>
      </c>
      <c r="J100">
        <v>32</v>
      </c>
      <c r="K100" t="str">
        <f t="shared" si="1"/>
        <v>working adults</v>
      </c>
      <c r="L100" t="str">
        <f>Orders!R99</f>
        <v>Pending</v>
      </c>
      <c r="M100" t="str">
        <f>Orders!Q99</f>
        <v>UPI</v>
      </c>
    </row>
    <row r="101" spans="1:13" x14ac:dyDescent="0.35">
      <c r="A101" t="s">
        <v>305</v>
      </c>
      <c r="B101" t="s">
        <v>505</v>
      </c>
      <c r="C101" t="s">
        <v>737</v>
      </c>
      <c r="D101" t="s">
        <v>1013</v>
      </c>
      <c r="E101">
        <f>Orders!E100</f>
        <v>3</v>
      </c>
      <c r="F101" s="6">
        <f>Orders!K100</f>
        <v>2730</v>
      </c>
      <c r="G101" s="7" t="s">
        <v>909</v>
      </c>
      <c r="H101" t="s">
        <v>1077</v>
      </c>
      <c r="I101" t="s">
        <v>1109</v>
      </c>
      <c r="J101">
        <v>33</v>
      </c>
      <c r="K101" t="str">
        <f t="shared" si="1"/>
        <v>working adults</v>
      </c>
      <c r="L101" t="str">
        <f>Orders!R100</f>
        <v>Pending</v>
      </c>
      <c r="M101" t="str">
        <f>Orders!Q100</f>
        <v>UPI</v>
      </c>
    </row>
    <row r="102" spans="1:13" x14ac:dyDescent="0.35">
      <c r="A102" t="s">
        <v>306</v>
      </c>
      <c r="B102" t="s">
        <v>506</v>
      </c>
      <c r="C102" t="s">
        <v>738</v>
      </c>
      <c r="D102" t="s">
        <v>1013</v>
      </c>
      <c r="E102">
        <f>Orders!E101</f>
        <v>8</v>
      </c>
      <c r="F102" s="6">
        <f>Orders!K101</f>
        <v>33600</v>
      </c>
      <c r="G102" s="7" t="s">
        <v>910</v>
      </c>
      <c r="H102" t="s">
        <v>1078</v>
      </c>
      <c r="I102" t="s">
        <v>1101</v>
      </c>
      <c r="J102">
        <v>30</v>
      </c>
      <c r="K102" t="str">
        <f t="shared" si="1"/>
        <v>working adults</v>
      </c>
      <c r="L102" t="str">
        <f>Orders!R101</f>
        <v>Pending</v>
      </c>
      <c r="M102" t="str">
        <f>Orders!Q101</f>
        <v>Credit Card</v>
      </c>
    </row>
    <row r="103" spans="1:13" x14ac:dyDescent="0.35">
      <c r="A103" t="s">
        <v>307</v>
      </c>
      <c r="B103" t="s">
        <v>507</v>
      </c>
      <c r="C103" t="s">
        <v>739</v>
      </c>
      <c r="D103" t="s">
        <v>1014</v>
      </c>
      <c r="E103">
        <f>Orders!E102</f>
        <v>7</v>
      </c>
      <c r="F103" s="6">
        <f>Orders!K102</f>
        <v>6860</v>
      </c>
      <c r="G103" s="7" t="s">
        <v>911</v>
      </c>
      <c r="H103" t="s">
        <v>1078</v>
      </c>
      <c r="I103" t="s">
        <v>1101</v>
      </c>
      <c r="J103">
        <v>22</v>
      </c>
      <c r="K103" t="str">
        <f t="shared" si="1"/>
        <v>student</v>
      </c>
      <c r="L103" t="str">
        <f>Orders!R102</f>
        <v>Pending</v>
      </c>
      <c r="M103" t="str">
        <f>Orders!Q102</f>
        <v>UPI</v>
      </c>
    </row>
    <row r="104" spans="1:13" x14ac:dyDescent="0.35">
      <c r="A104" t="s">
        <v>308</v>
      </c>
      <c r="B104" t="s">
        <v>508</v>
      </c>
      <c r="C104" t="s">
        <v>751</v>
      </c>
      <c r="D104" t="s">
        <v>1013</v>
      </c>
      <c r="E104">
        <f>Orders!E103</f>
        <v>6</v>
      </c>
      <c r="F104" s="6">
        <f>Orders!K103</f>
        <v>100050</v>
      </c>
      <c r="G104" s="7" t="s">
        <v>912</v>
      </c>
      <c r="H104" t="s">
        <v>1066</v>
      </c>
      <c r="I104" t="s">
        <v>1066</v>
      </c>
      <c r="J104">
        <v>25</v>
      </c>
      <c r="K104" t="str">
        <f t="shared" si="1"/>
        <v>student</v>
      </c>
      <c r="L104" t="str">
        <f>Orders!R103</f>
        <v>Pending</v>
      </c>
      <c r="M104" t="str">
        <f>Orders!Q103</f>
        <v>Credit Card</v>
      </c>
    </row>
    <row r="105" spans="1:13" x14ac:dyDescent="0.35">
      <c r="A105" t="s">
        <v>309</v>
      </c>
      <c r="B105" t="s">
        <v>509</v>
      </c>
      <c r="C105" t="s">
        <v>752</v>
      </c>
      <c r="D105" t="s">
        <v>1013</v>
      </c>
      <c r="E105">
        <f>Orders!E104</f>
        <v>5</v>
      </c>
      <c r="F105" s="6">
        <f>Orders!K104</f>
        <v>75000</v>
      </c>
      <c r="G105" s="7" t="s">
        <v>913</v>
      </c>
      <c r="H105" t="s">
        <v>1066</v>
      </c>
      <c r="I105" t="s">
        <v>1066</v>
      </c>
      <c r="J105">
        <v>24</v>
      </c>
      <c r="K105" t="str">
        <f t="shared" si="1"/>
        <v>student</v>
      </c>
      <c r="L105" t="str">
        <f>Orders!R104</f>
        <v>Pending</v>
      </c>
      <c r="M105" t="str">
        <f>Orders!Q104</f>
        <v>Credit Card</v>
      </c>
    </row>
    <row r="106" spans="1:13" x14ac:dyDescent="0.35">
      <c r="A106" t="s">
        <v>310</v>
      </c>
      <c r="B106" t="s">
        <v>510</v>
      </c>
      <c r="C106" t="s">
        <v>753</v>
      </c>
      <c r="D106" t="s">
        <v>1013</v>
      </c>
      <c r="E106">
        <f>Orders!E105</f>
        <v>4</v>
      </c>
      <c r="F106" s="6">
        <f>Orders!K105</f>
        <v>52500</v>
      </c>
      <c r="G106" s="7" t="s">
        <v>914</v>
      </c>
      <c r="H106" t="s">
        <v>1079</v>
      </c>
      <c r="I106" t="s">
        <v>1111</v>
      </c>
      <c r="J106">
        <v>23</v>
      </c>
      <c r="K106" t="str">
        <f t="shared" si="1"/>
        <v>student</v>
      </c>
      <c r="L106" t="str">
        <f>Orders!R105</f>
        <v>Pending</v>
      </c>
      <c r="M106" t="str">
        <f>Orders!Q105</f>
        <v>Credit Card</v>
      </c>
    </row>
    <row r="107" spans="1:13" x14ac:dyDescent="0.35">
      <c r="A107" t="s">
        <v>311</v>
      </c>
      <c r="B107" t="s">
        <v>511</v>
      </c>
      <c r="C107" t="s">
        <v>754</v>
      </c>
      <c r="D107" t="s">
        <v>1013</v>
      </c>
      <c r="E107">
        <f>Orders!E106</f>
        <v>5</v>
      </c>
      <c r="F107" s="6">
        <f>Orders!K106</f>
        <v>156250</v>
      </c>
      <c r="G107" s="7" t="s">
        <v>915</v>
      </c>
      <c r="H107" t="s">
        <v>1080</v>
      </c>
      <c r="I107" t="s">
        <v>1104</v>
      </c>
      <c r="J107">
        <v>26</v>
      </c>
      <c r="K107" t="str">
        <f t="shared" si="1"/>
        <v>working adults</v>
      </c>
      <c r="L107" t="str">
        <f>Orders!R106</f>
        <v>Pending</v>
      </c>
      <c r="M107" t="str">
        <f>Orders!Q106</f>
        <v xml:space="preserve">EMI </v>
      </c>
    </row>
    <row r="108" spans="1:13" x14ac:dyDescent="0.35">
      <c r="A108" t="s">
        <v>312</v>
      </c>
      <c r="B108" t="s">
        <v>512</v>
      </c>
      <c r="C108" t="s">
        <v>755</v>
      </c>
      <c r="D108" t="s">
        <v>1013</v>
      </c>
      <c r="E108">
        <f>Orders!E107</f>
        <v>3</v>
      </c>
      <c r="F108" s="6">
        <f>Orders!K107</f>
        <v>46800</v>
      </c>
      <c r="G108" s="7" t="s">
        <v>916</v>
      </c>
      <c r="H108" t="s">
        <v>1066</v>
      </c>
      <c r="I108" t="s">
        <v>1066</v>
      </c>
      <c r="J108">
        <v>27</v>
      </c>
      <c r="K108" t="str">
        <f t="shared" si="1"/>
        <v>working adults</v>
      </c>
      <c r="L108" t="str">
        <f>Orders!R107</f>
        <v>Pending</v>
      </c>
      <c r="M108" t="str">
        <f>Orders!Q107</f>
        <v>No Cost EMI</v>
      </c>
    </row>
    <row r="109" spans="1:13" x14ac:dyDescent="0.35">
      <c r="A109" t="s">
        <v>313</v>
      </c>
      <c r="B109" t="s">
        <v>513</v>
      </c>
      <c r="C109" t="s">
        <v>756</v>
      </c>
      <c r="D109" t="s">
        <v>1013</v>
      </c>
      <c r="E109">
        <f>Orders!E108</f>
        <v>2</v>
      </c>
      <c r="F109" s="6">
        <f>Orders!K108</f>
        <v>46000</v>
      </c>
      <c r="G109" s="7" t="s">
        <v>917</v>
      </c>
      <c r="H109" t="s">
        <v>1081</v>
      </c>
      <c r="I109" t="s">
        <v>1099</v>
      </c>
      <c r="J109">
        <v>27</v>
      </c>
      <c r="K109" t="str">
        <f t="shared" si="1"/>
        <v>working adults</v>
      </c>
      <c r="L109" t="str">
        <f>Orders!R108</f>
        <v>Pending</v>
      </c>
      <c r="M109" t="str">
        <f>Orders!Q108</f>
        <v>Credit Card</v>
      </c>
    </row>
    <row r="110" spans="1:13" x14ac:dyDescent="0.35">
      <c r="A110" t="s">
        <v>314</v>
      </c>
      <c r="B110" t="s">
        <v>514</v>
      </c>
      <c r="C110" t="s">
        <v>757</v>
      </c>
      <c r="D110" t="s">
        <v>1013</v>
      </c>
      <c r="E110">
        <f>Orders!E109</f>
        <v>3</v>
      </c>
      <c r="F110" s="6">
        <f>Orders!K109</f>
        <v>111600</v>
      </c>
      <c r="G110" s="7" t="s">
        <v>918</v>
      </c>
      <c r="H110" t="s">
        <v>1082</v>
      </c>
      <c r="I110" t="s">
        <v>1109</v>
      </c>
      <c r="J110">
        <v>28</v>
      </c>
      <c r="K110" t="str">
        <f t="shared" si="1"/>
        <v>working adults</v>
      </c>
      <c r="L110" t="str">
        <f>Orders!R109</f>
        <v>Pending</v>
      </c>
      <c r="M110" t="str">
        <f>Orders!Q109</f>
        <v xml:space="preserve">EMI </v>
      </c>
    </row>
    <row r="111" spans="1:13" x14ac:dyDescent="0.35">
      <c r="A111" t="s">
        <v>315</v>
      </c>
      <c r="B111" t="s">
        <v>515</v>
      </c>
      <c r="C111" t="s">
        <v>758</v>
      </c>
      <c r="D111" t="s">
        <v>1013</v>
      </c>
      <c r="E111">
        <f>Orders!E110</f>
        <v>4</v>
      </c>
      <c r="F111" s="6">
        <f>Orders!K110</f>
        <v>216000</v>
      </c>
      <c r="G111" s="7" t="s">
        <v>919</v>
      </c>
      <c r="H111" t="s">
        <v>1062</v>
      </c>
      <c r="I111" t="s">
        <v>1109</v>
      </c>
      <c r="J111">
        <v>29</v>
      </c>
      <c r="K111" t="str">
        <f t="shared" si="1"/>
        <v>working adults</v>
      </c>
      <c r="L111" t="str">
        <f>Orders!R110</f>
        <v>Pending</v>
      </c>
      <c r="M111" t="str">
        <f>Orders!Q110</f>
        <v xml:space="preserve">EMI </v>
      </c>
    </row>
    <row r="112" spans="1:13" x14ac:dyDescent="0.35">
      <c r="A112" t="s">
        <v>316</v>
      </c>
      <c r="B112" t="s">
        <v>516</v>
      </c>
      <c r="C112" t="s">
        <v>759</v>
      </c>
      <c r="D112" t="s">
        <v>1013</v>
      </c>
      <c r="E112">
        <f>Orders!E111</f>
        <v>4</v>
      </c>
      <c r="F112" s="6">
        <f>Orders!K111</f>
        <v>172800</v>
      </c>
      <c r="G112" s="7" t="s">
        <v>920</v>
      </c>
      <c r="H112" t="s">
        <v>1066</v>
      </c>
      <c r="I112" t="s">
        <v>1066</v>
      </c>
      <c r="J112">
        <v>31</v>
      </c>
      <c r="K112" t="str">
        <f t="shared" si="1"/>
        <v>working adults</v>
      </c>
      <c r="L112" t="str">
        <f>Orders!R111</f>
        <v>Pending</v>
      </c>
      <c r="M112" t="str">
        <f>Orders!Q111</f>
        <v>No Cost EMI</v>
      </c>
    </row>
    <row r="113" spans="1:13" x14ac:dyDescent="0.35">
      <c r="A113" t="s">
        <v>317</v>
      </c>
      <c r="B113" t="s">
        <v>517</v>
      </c>
      <c r="C113" t="s">
        <v>762</v>
      </c>
      <c r="D113" t="s">
        <v>1013</v>
      </c>
      <c r="E113">
        <f>Orders!E112</f>
        <v>2</v>
      </c>
      <c r="F113" s="6">
        <f>Orders!K112</f>
        <v>189000</v>
      </c>
      <c r="G113" s="7" t="s">
        <v>921</v>
      </c>
      <c r="H113" t="s">
        <v>1053</v>
      </c>
      <c r="I113" t="s">
        <v>1105</v>
      </c>
      <c r="J113">
        <v>32</v>
      </c>
      <c r="K113" t="str">
        <f t="shared" si="1"/>
        <v>working adults</v>
      </c>
      <c r="L113" t="str">
        <f>Orders!R112</f>
        <v>Pending</v>
      </c>
      <c r="M113" t="str">
        <f>Orders!Q112</f>
        <v>No Cost EMI</v>
      </c>
    </row>
    <row r="114" spans="1:13" x14ac:dyDescent="0.35">
      <c r="A114" t="s">
        <v>318</v>
      </c>
      <c r="B114" t="s">
        <v>518</v>
      </c>
      <c r="C114" t="s">
        <v>760</v>
      </c>
      <c r="D114" t="s">
        <v>1013</v>
      </c>
      <c r="E114">
        <f>Orders!E113</f>
        <v>11</v>
      </c>
      <c r="F114" s="6">
        <f>Orders!K113</f>
        <v>223080</v>
      </c>
      <c r="G114" s="7" t="s">
        <v>922</v>
      </c>
      <c r="H114" t="s">
        <v>1063</v>
      </c>
      <c r="I114" t="s">
        <v>1110</v>
      </c>
      <c r="J114">
        <v>33</v>
      </c>
      <c r="K114" t="str">
        <f t="shared" si="1"/>
        <v>working adults</v>
      </c>
      <c r="L114" t="str">
        <f>Orders!R113</f>
        <v>Pending</v>
      </c>
      <c r="M114" t="str">
        <f>Orders!Q113</f>
        <v xml:space="preserve">EMI </v>
      </c>
    </row>
    <row r="115" spans="1:13" x14ac:dyDescent="0.35">
      <c r="A115" t="s">
        <v>319</v>
      </c>
      <c r="B115" t="s">
        <v>519</v>
      </c>
      <c r="C115" t="s">
        <v>761</v>
      </c>
      <c r="D115" t="s">
        <v>1013</v>
      </c>
      <c r="E115">
        <f>Orders!E114</f>
        <v>22</v>
      </c>
      <c r="F115" s="6">
        <f>Orders!K114</f>
        <v>632500</v>
      </c>
      <c r="G115" s="7" t="s">
        <v>923</v>
      </c>
      <c r="H115" t="s">
        <v>1062</v>
      </c>
      <c r="I115" t="s">
        <v>1109</v>
      </c>
      <c r="J115">
        <v>45</v>
      </c>
      <c r="K115" t="str">
        <f t="shared" si="1"/>
        <v>working adults</v>
      </c>
      <c r="L115" t="str">
        <f>Orders!R114</f>
        <v>Pending</v>
      </c>
      <c r="M115" t="str">
        <f>Orders!Q114</f>
        <v>Buy Now Pay later</v>
      </c>
    </row>
    <row r="116" spans="1:13" x14ac:dyDescent="0.35">
      <c r="A116" t="s">
        <v>320</v>
      </c>
      <c r="B116" t="s">
        <v>520</v>
      </c>
      <c r="C116" t="s">
        <v>765</v>
      </c>
      <c r="D116" t="s">
        <v>1034</v>
      </c>
      <c r="E116">
        <f>Orders!E115</f>
        <v>13</v>
      </c>
      <c r="F116" s="6">
        <f>Orders!K115</f>
        <v>236600</v>
      </c>
      <c r="G116" s="7" t="s">
        <v>924</v>
      </c>
      <c r="H116" t="s">
        <v>1074</v>
      </c>
      <c r="I116" t="s">
        <v>1099</v>
      </c>
      <c r="J116">
        <v>44</v>
      </c>
      <c r="K116" t="str">
        <f t="shared" si="1"/>
        <v>working adults</v>
      </c>
      <c r="L116" t="str">
        <f>Orders!R115</f>
        <v>Pending</v>
      </c>
      <c r="M116" t="str">
        <f>Orders!Q115</f>
        <v>Buy Now Pay later</v>
      </c>
    </row>
    <row r="117" spans="1:13" x14ac:dyDescent="0.35">
      <c r="A117" t="s">
        <v>321</v>
      </c>
      <c r="B117" t="s">
        <v>521</v>
      </c>
      <c r="C117" t="s">
        <v>766</v>
      </c>
      <c r="D117" t="s">
        <v>1034</v>
      </c>
      <c r="E117">
        <f>Orders!E116</f>
        <v>15</v>
      </c>
      <c r="F117" s="6">
        <f>Orders!K116</f>
        <v>151875</v>
      </c>
      <c r="G117" s="7" t="s">
        <v>925</v>
      </c>
      <c r="H117" t="s">
        <v>1060</v>
      </c>
      <c r="I117" t="s">
        <v>1109</v>
      </c>
      <c r="J117">
        <v>56</v>
      </c>
      <c r="K117" t="str">
        <f t="shared" si="1"/>
        <v>working adults</v>
      </c>
      <c r="L117" t="str">
        <f>Orders!R116</f>
        <v>Pending</v>
      </c>
      <c r="M117" t="str">
        <f>Orders!Q116</f>
        <v>No Cost EMI</v>
      </c>
    </row>
    <row r="118" spans="1:13" x14ac:dyDescent="0.35">
      <c r="A118" t="s">
        <v>322</v>
      </c>
      <c r="B118" t="s">
        <v>522</v>
      </c>
      <c r="C118" t="s">
        <v>767</v>
      </c>
      <c r="D118" t="s">
        <v>1034</v>
      </c>
      <c r="E118">
        <f>Orders!E117</f>
        <v>15</v>
      </c>
      <c r="F118" s="6">
        <f>Orders!K117</f>
        <v>87750</v>
      </c>
      <c r="G118" s="7" t="s">
        <v>926</v>
      </c>
      <c r="H118" t="s">
        <v>1066</v>
      </c>
      <c r="I118" t="s">
        <v>1066</v>
      </c>
      <c r="J118">
        <v>57</v>
      </c>
      <c r="K118" t="str">
        <f t="shared" si="1"/>
        <v>working adults</v>
      </c>
      <c r="L118" t="str">
        <f>Orders!R117</f>
        <v>Pending</v>
      </c>
      <c r="M118" t="str">
        <f>Orders!Q117</f>
        <v xml:space="preserve">EMI </v>
      </c>
    </row>
    <row r="119" spans="1:13" x14ac:dyDescent="0.35">
      <c r="A119" t="s">
        <v>323</v>
      </c>
      <c r="B119" t="s">
        <v>523</v>
      </c>
      <c r="C119" t="s">
        <v>768</v>
      </c>
      <c r="D119" t="s">
        <v>1034</v>
      </c>
      <c r="E119">
        <f>Orders!E118</f>
        <v>16</v>
      </c>
      <c r="F119" s="6">
        <f>Orders!K118</f>
        <v>31320</v>
      </c>
      <c r="G119" s="7" t="s">
        <v>927</v>
      </c>
      <c r="H119" t="s">
        <v>1083</v>
      </c>
      <c r="I119" t="s">
        <v>1100</v>
      </c>
      <c r="J119">
        <v>58</v>
      </c>
      <c r="K119" t="str">
        <f t="shared" si="1"/>
        <v>working adults</v>
      </c>
      <c r="L119" t="str">
        <f>Orders!R118</f>
        <v>Pending</v>
      </c>
      <c r="M119" t="str">
        <f>Orders!Q118</f>
        <v>UPI</v>
      </c>
    </row>
    <row r="120" spans="1:13" x14ac:dyDescent="0.35">
      <c r="A120" t="s">
        <v>324</v>
      </c>
      <c r="B120" t="s">
        <v>524</v>
      </c>
      <c r="C120" t="s">
        <v>772</v>
      </c>
      <c r="D120" t="s">
        <v>1013</v>
      </c>
      <c r="E120">
        <f>Orders!E119</f>
        <v>2</v>
      </c>
      <c r="F120" s="6">
        <f>Orders!K119</f>
        <v>31250</v>
      </c>
      <c r="G120" s="7" t="s">
        <v>928</v>
      </c>
      <c r="H120" t="s">
        <v>1083</v>
      </c>
      <c r="I120" t="s">
        <v>1100</v>
      </c>
      <c r="J120">
        <v>61</v>
      </c>
      <c r="K120" t="str">
        <f t="shared" si="1"/>
        <v>Senior Citizen</v>
      </c>
      <c r="L120" t="str">
        <f>Orders!R119</f>
        <v>Pending</v>
      </c>
      <c r="M120" t="str">
        <f>Orders!Q119</f>
        <v>Credit Card</v>
      </c>
    </row>
    <row r="121" spans="1:13" x14ac:dyDescent="0.35">
      <c r="A121" t="s">
        <v>325</v>
      </c>
      <c r="B121" t="s">
        <v>525</v>
      </c>
      <c r="C121" t="s">
        <v>769</v>
      </c>
      <c r="D121" t="s">
        <v>1013</v>
      </c>
      <c r="E121">
        <f>Orders!E120</f>
        <v>3</v>
      </c>
      <c r="F121" s="6">
        <f>Orders!K120</f>
        <v>14700</v>
      </c>
      <c r="G121" s="7" t="s">
        <v>929</v>
      </c>
      <c r="H121" t="s">
        <v>1073</v>
      </c>
      <c r="I121" t="s">
        <v>1104</v>
      </c>
      <c r="J121">
        <v>31</v>
      </c>
      <c r="K121" t="str">
        <f t="shared" si="1"/>
        <v>working adults</v>
      </c>
      <c r="L121" t="str">
        <f>Orders!R120</f>
        <v>Pending</v>
      </c>
      <c r="M121" t="str">
        <f>Orders!Q120</f>
        <v>Credit Card</v>
      </c>
    </row>
    <row r="122" spans="1:13" x14ac:dyDescent="0.35">
      <c r="A122" t="s">
        <v>326</v>
      </c>
      <c r="B122" t="s">
        <v>526</v>
      </c>
      <c r="C122" t="s">
        <v>750</v>
      </c>
      <c r="D122" t="s">
        <v>1013</v>
      </c>
      <c r="E122">
        <f>Orders!E121</f>
        <v>4</v>
      </c>
      <c r="F122" s="6">
        <f>Orders!K121</f>
        <v>622500</v>
      </c>
      <c r="G122" s="7" t="s">
        <v>930</v>
      </c>
      <c r="H122" t="s">
        <v>1066</v>
      </c>
      <c r="I122" t="s">
        <v>1066</v>
      </c>
      <c r="J122">
        <v>27</v>
      </c>
      <c r="K122" t="str">
        <f t="shared" si="1"/>
        <v>working adults</v>
      </c>
      <c r="L122" t="str">
        <f>Orders!R121</f>
        <v>Delivered</v>
      </c>
      <c r="M122" t="str">
        <f>Orders!Q121</f>
        <v>Credit Card</v>
      </c>
    </row>
    <row r="123" spans="1:13" x14ac:dyDescent="0.35">
      <c r="A123" t="s">
        <v>327</v>
      </c>
      <c r="B123" t="s">
        <v>527</v>
      </c>
      <c r="C123" t="s">
        <v>773</v>
      </c>
      <c r="D123" t="s">
        <v>1013</v>
      </c>
      <c r="E123">
        <f>Orders!E122</f>
        <v>5</v>
      </c>
      <c r="F123" s="6">
        <f>Orders!K122</f>
        <v>102600</v>
      </c>
      <c r="G123" s="7" t="s">
        <v>931</v>
      </c>
      <c r="H123" t="s">
        <v>1077</v>
      </c>
      <c r="I123" t="s">
        <v>1109</v>
      </c>
      <c r="J123">
        <v>43</v>
      </c>
      <c r="K123" t="str">
        <f t="shared" si="1"/>
        <v>working adults</v>
      </c>
      <c r="L123" t="str">
        <f>Orders!R122</f>
        <v>Delivered</v>
      </c>
      <c r="M123" t="str">
        <f>Orders!Q122</f>
        <v>UPI</v>
      </c>
    </row>
    <row r="124" spans="1:13" x14ac:dyDescent="0.35">
      <c r="A124" t="s">
        <v>328</v>
      </c>
      <c r="B124" t="s">
        <v>528</v>
      </c>
      <c r="C124" t="s">
        <v>774</v>
      </c>
      <c r="D124" t="s">
        <v>1013</v>
      </c>
      <c r="E124">
        <f>Orders!E123</f>
        <v>6</v>
      </c>
      <c r="F124" s="6">
        <f>Orders!K123</f>
        <v>176737.5</v>
      </c>
      <c r="G124" s="7" t="s">
        <v>932</v>
      </c>
      <c r="H124" t="s">
        <v>1065</v>
      </c>
      <c r="I124" t="s">
        <v>1109</v>
      </c>
      <c r="J124">
        <v>44</v>
      </c>
      <c r="K124" t="str">
        <f t="shared" si="1"/>
        <v>working adults</v>
      </c>
      <c r="L124" t="str">
        <f>Orders!R123</f>
        <v>Delivered</v>
      </c>
      <c r="M124" t="str">
        <f>Orders!Q123</f>
        <v>Credit Card</v>
      </c>
    </row>
    <row r="125" spans="1:13" x14ac:dyDescent="0.35">
      <c r="A125" t="s">
        <v>329</v>
      </c>
      <c r="B125" t="s">
        <v>529</v>
      </c>
      <c r="C125" t="s">
        <v>775</v>
      </c>
      <c r="D125" t="s">
        <v>1013</v>
      </c>
      <c r="E125">
        <f>Orders!E124</f>
        <v>7</v>
      </c>
      <c r="F125" s="6">
        <f>Orders!K124</f>
        <v>563500</v>
      </c>
      <c r="G125" s="7" t="s">
        <v>933</v>
      </c>
      <c r="H125" t="s">
        <v>1064</v>
      </c>
      <c r="I125" t="s">
        <v>1109</v>
      </c>
      <c r="J125">
        <v>41</v>
      </c>
      <c r="K125" t="str">
        <f t="shared" si="1"/>
        <v>working adults</v>
      </c>
      <c r="L125" t="str">
        <f>Orders!R124</f>
        <v>Delivered</v>
      </c>
      <c r="M125" t="str">
        <f>Orders!Q124</f>
        <v>Credit Card</v>
      </c>
    </row>
    <row r="126" spans="1:13" x14ac:dyDescent="0.35">
      <c r="A126" t="s">
        <v>330</v>
      </c>
      <c r="B126" t="s">
        <v>530</v>
      </c>
      <c r="C126" t="s">
        <v>777</v>
      </c>
      <c r="D126" t="s">
        <v>1033</v>
      </c>
      <c r="E126">
        <f>Orders!E125</f>
        <v>8</v>
      </c>
      <c r="F126" s="6">
        <f>Orders!K125</f>
        <v>80000</v>
      </c>
      <c r="G126" s="7" t="s">
        <v>934</v>
      </c>
      <c r="H126" t="s">
        <v>1084</v>
      </c>
      <c r="I126" t="s">
        <v>1099</v>
      </c>
      <c r="J126">
        <v>44</v>
      </c>
      <c r="K126" t="str">
        <f t="shared" si="1"/>
        <v>working adults</v>
      </c>
      <c r="L126" t="str">
        <f>Orders!R125</f>
        <v>Delivered</v>
      </c>
      <c r="M126" t="str">
        <f>Orders!Q125</f>
        <v>Credit Card</v>
      </c>
    </row>
    <row r="127" spans="1:13" x14ac:dyDescent="0.35">
      <c r="A127" t="s">
        <v>331</v>
      </c>
      <c r="B127" t="s">
        <v>531</v>
      </c>
      <c r="C127" t="s">
        <v>778</v>
      </c>
      <c r="D127" t="s">
        <v>1033</v>
      </c>
      <c r="E127">
        <f>Orders!E126</f>
        <v>9</v>
      </c>
      <c r="F127" s="6">
        <f>Orders!K126</f>
        <v>113850</v>
      </c>
      <c r="G127" s="7" t="s">
        <v>935</v>
      </c>
      <c r="H127" t="s">
        <v>1085</v>
      </c>
      <c r="I127" t="s">
        <v>1102</v>
      </c>
      <c r="J127">
        <v>45</v>
      </c>
      <c r="K127" t="str">
        <f t="shared" si="1"/>
        <v>working adults</v>
      </c>
      <c r="L127" t="str">
        <f>Orders!R126</f>
        <v>Delivered</v>
      </c>
      <c r="M127" t="str">
        <f>Orders!Q126</f>
        <v>Credit Card</v>
      </c>
    </row>
    <row r="128" spans="1:13" x14ac:dyDescent="0.35">
      <c r="A128" t="s">
        <v>332</v>
      </c>
      <c r="B128" t="s">
        <v>532</v>
      </c>
      <c r="C128" t="s">
        <v>779</v>
      </c>
      <c r="D128" t="s">
        <v>1033</v>
      </c>
      <c r="E128">
        <f>Orders!E127</f>
        <v>8</v>
      </c>
      <c r="F128" s="6">
        <f>Orders!K127</f>
        <v>140000</v>
      </c>
      <c r="G128" s="7" t="s">
        <v>936</v>
      </c>
      <c r="H128" t="s">
        <v>1086</v>
      </c>
      <c r="I128" t="s">
        <v>1099</v>
      </c>
      <c r="J128">
        <v>45</v>
      </c>
      <c r="K128" t="str">
        <f t="shared" si="1"/>
        <v>working adults</v>
      </c>
      <c r="L128" t="str">
        <f>Orders!R127</f>
        <v>Delivered</v>
      </c>
      <c r="M128" t="str">
        <f>Orders!Q127</f>
        <v>Credit Card</v>
      </c>
    </row>
    <row r="129" spans="1:13" x14ac:dyDescent="0.35">
      <c r="A129" t="s">
        <v>333</v>
      </c>
      <c r="B129" t="s">
        <v>533</v>
      </c>
      <c r="C129" t="s">
        <v>780</v>
      </c>
      <c r="D129" t="s">
        <v>1033</v>
      </c>
      <c r="E129">
        <f>Orders!E128</f>
        <v>9</v>
      </c>
      <c r="F129" s="6">
        <f>Orders!K128</f>
        <v>175950</v>
      </c>
      <c r="G129" s="7" t="s">
        <v>937</v>
      </c>
      <c r="H129" t="s">
        <v>1086</v>
      </c>
      <c r="I129" t="s">
        <v>1099</v>
      </c>
      <c r="J129">
        <v>45</v>
      </c>
      <c r="K129" t="str">
        <f t="shared" si="1"/>
        <v>working adults</v>
      </c>
      <c r="L129" t="str">
        <f>Orders!R128</f>
        <v>Delivered</v>
      </c>
      <c r="M129" t="str">
        <f>Orders!Q128</f>
        <v xml:space="preserve">EMI </v>
      </c>
    </row>
    <row r="130" spans="1:13" x14ac:dyDescent="0.35">
      <c r="A130" t="s">
        <v>334</v>
      </c>
      <c r="B130" t="s">
        <v>534</v>
      </c>
      <c r="C130" t="s">
        <v>781</v>
      </c>
      <c r="D130" t="s">
        <v>1035</v>
      </c>
      <c r="E130">
        <f>Orders!E129</f>
        <v>8</v>
      </c>
      <c r="F130" s="6">
        <f>Orders!K129</f>
        <v>200000</v>
      </c>
      <c r="G130" s="7" t="s">
        <v>938</v>
      </c>
      <c r="H130" t="s">
        <v>1074</v>
      </c>
      <c r="I130" t="s">
        <v>1099</v>
      </c>
      <c r="J130">
        <v>46</v>
      </c>
      <c r="K130" t="str">
        <f t="shared" si="1"/>
        <v>working adults</v>
      </c>
      <c r="L130" t="str">
        <f>Orders!R129</f>
        <v>Delivered</v>
      </c>
      <c r="M130" t="str">
        <f>Orders!Q129</f>
        <v xml:space="preserve">EMI </v>
      </c>
    </row>
    <row r="131" spans="1:13" x14ac:dyDescent="0.35">
      <c r="A131" t="s">
        <v>335</v>
      </c>
      <c r="B131" t="s">
        <v>535</v>
      </c>
      <c r="C131" t="s">
        <v>782</v>
      </c>
      <c r="D131" t="s">
        <v>1033</v>
      </c>
      <c r="E131">
        <f>Orders!E130</f>
        <v>9</v>
      </c>
      <c r="F131" s="6">
        <f>Orders!K130</f>
        <v>238050</v>
      </c>
      <c r="G131" s="7" t="s">
        <v>939</v>
      </c>
      <c r="H131" t="s">
        <v>1070</v>
      </c>
      <c r="I131" t="s">
        <v>1099</v>
      </c>
      <c r="J131">
        <v>34</v>
      </c>
      <c r="K131" t="str">
        <f t="shared" si="1"/>
        <v>working adults</v>
      </c>
      <c r="L131" t="str">
        <f>Orders!R130</f>
        <v>Delivered</v>
      </c>
      <c r="M131" t="str">
        <f>Orders!Q130</f>
        <v xml:space="preserve">EMI </v>
      </c>
    </row>
    <row r="132" spans="1:13" x14ac:dyDescent="0.35">
      <c r="A132" t="s">
        <v>336</v>
      </c>
      <c r="B132" t="s">
        <v>536</v>
      </c>
      <c r="C132" t="s">
        <v>783</v>
      </c>
      <c r="D132" t="s">
        <v>1033</v>
      </c>
      <c r="E132">
        <f>Orders!E131</f>
        <v>8</v>
      </c>
      <c r="F132" s="6">
        <f>Orders!K131</f>
        <v>260000</v>
      </c>
      <c r="G132" s="7" t="s">
        <v>940</v>
      </c>
      <c r="H132" t="s">
        <v>1055</v>
      </c>
      <c r="I132" t="s">
        <v>1109</v>
      </c>
      <c r="J132">
        <v>32</v>
      </c>
      <c r="K132" t="str">
        <f t="shared" si="1"/>
        <v>working adults</v>
      </c>
      <c r="L132" t="str">
        <f>Orders!R131</f>
        <v>Delivered</v>
      </c>
      <c r="M132" t="str">
        <f>Orders!Q131</f>
        <v xml:space="preserve">EMI </v>
      </c>
    </row>
    <row r="133" spans="1:13" x14ac:dyDescent="0.35">
      <c r="A133" t="s">
        <v>337</v>
      </c>
      <c r="B133" t="s">
        <v>537</v>
      </c>
      <c r="C133" t="s">
        <v>783</v>
      </c>
      <c r="D133" t="s">
        <v>1033</v>
      </c>
      <c r="E133">
        <f>Orders!E132</f>
        <v>9</v>
      </c>
      <c r="F133" s="6">
        <f>Orders!K132</f>
        <v>300150</v>
      </c>
      <c r="G133" s="7" t="s">
        <v>941</v>
      </c>
      <c r="H133" t="s">
        <v>1055</v>
      </c>
      <c r="I133" t="s">
        <v>1109</v>
      </c>
      <c r="J133">
        <v>37</v>
      </c>
      <c r="K133" t="str">
        <f t="shared" si="1"/>
        <v>working adults</v>
      </c>
      <c r="L133" t="str">
        <f>Orders!R132</f>
        <v>Delivered</v>
      </c>
      <c r="M133" t="str">
        <f>Orders!Q132</f>
        <v xml:space="preserve">EMI </v>
      </c>
    </row>
    <row r="134" spans="1:13" x14ac:dyDescent="0.35">
      <c r="A134" t="s">
        <v>338</v>
      </c>
      <c r="B134" t="s">
        <v>538</v>
      </c>
      <c r="C134" t="s">
        <v>776</v>
      </c>
      <c r="D134" t="s">
        <v>1013</v>
      </c>
      <c r="E134">
        <f>Orders!E133</f>
        <v>9</v>
      </c>
      <c r="F134" s="6">
        <f>Orders!K133</f>
        <v>360000</v>
      </c>
      <c r="G134" s="7" t="s">
        <v>942</v>
      </c>
      <c r="H134" t="s">
        <v>1066</v>
      </c>
      <c r="I134" t="s">
        <v>1066</v>
      </c>
      <c r="J134">
        <v>35</v>
      </c>
      <c r="K134" t="str">
        <f t="shared" ref="K134:K197" si="2">IF(J134&lt;=25,"student",IF(J134&lt;60,"working adults","Senior Citizen"))</f>
        <v>working adults</v>
      </c>
      <c r="L134" t="str">
        <f>Orders!R133</f>
        <v>Pending</v>
      </c>
      <c r="M134" t="str">
        <f>Orders!Q133</f>
        <v xml:space="preserve">EMI </v>
      </c>
    </row>
    <row r="135" spans="1:13" x14ac:dyDescent="0.35">
      <c r="A135" t="s">
        <v>339</v>
      </c>
      <c r="B135" t="s">
        <v>539</v>
      </c>
      <c r="C135" t="s">
        <v>784</v>
      </c>
      <c r="D135" t="s">
        <v>1142</v>
      </c>
      <c r="E135">
        <f>Orders!E134</f>
        <v>9</v>
      </c>
      <c r="F135" s="6">
        <f>Orders!K134</f>
        <v>434700</v>
      </c>
      <c r="G135" s="7" t="s">
        <v>943</v>
      </c>
      <c r="H135" t="s">
        <v>1066</v>
      </c>
      <c r="I135" t="s">
        <v>1066</v>
      </c>
      <c r="J135">
        <v>43</v>
      </c>
      <c r="K135" t="str">
        <f t="shared" si="2"/>
        <v>working adults</v>
      </c>
      <c r="L135" t="str">
        <f>Orders!R134</f>
        <v>Pending</v>
      </c>
      <c r="M135" t="str">
        <f>Orders!Q134</f>
        <v xml:space="preserve">EMI </v>
      </c>
    </row>
    <row r="136" spans="1:13" x14ac:dyDescent="0.35">
      <c r="A136" t="s">
        <v>340</v>
      </c>
      <c r="B136" t="s">
        <v>540</v>
      </c>
      <c r="C136" t="s">
        <v>785</v>
      </c>
      <c r="D136" t="s">
        <v>1018</v>
      </c>
      <c r="E136">
        <f>Orders!E135</f>
        <v>8</v>
      </c>
      <c r="F136" s="6">
        <f>Orders!K135</f>
        <v>419520</v>
      </c>
      <c r="G136" s="7" t="s">
        <v>944</v>
      </c>
      <c r="H136" t="s">
        <v>1066</v>
      </c>
      <c r="I136" t="s">
        <v>1066</v>
      </c>
      <c r="J136">
        <v>45</v>
      </c>
      <c r="K136" t="str">
        <f t="shared" si="2"/>
        <v>working adults</v>
      </c>
      <c r="L136" t="str">
        <f>Orders!R135</f>
        <v>Pending</v>
      </c>
      <c r="M136" t="str">
        <f>Orders!Q135</f>
        <v xml:space="preserve">EMI </v>
      </c>
    </row>
    <row r="137" spans="1:13" x14ac:dyDescent="0.35">
      <c r="A137" t="s">
        <v>341</v>
      </c>
      <c r="B137" t="s">
        <v>541</v>
      </c>
      <c r="C137" t="s">
        <v>786</v>
      </c>
      <c r="D137" t="s">
        <v>1018</v>
      </c>
      <c r="E137">
        <f>Orders!E136</f>
        <v>7</v>
      </c>
      <c r="F137" s="6">
        <f>Orders!K136</f>
        <v>344400</v>
      </c>
      <c r="G137" s="7" t="s">
        <v>945</v>
      </c>
      <c r="H137" t="s">
        <v>1066</v>
      </c>
      <c r="I137" t="s">
        <v>1066</v>
      </c>
      <c r="J137">
        <v>44</v>
      </c>
      <c r="K137" t="str">
        <f t="shared" si="2"/>
        <v>working adults</v>
      </c>
      <c r="L137" t="str">
        <f>Orders!R136</f>
        <v>Pending</v>
      </c>
      <c r="M137" t="str">
        <f>Orders!Q136</f>
        <v xml:space="preserve">EMI </v>
      </c>
    </row>
    <row r="138" spans="1:13" x14ac:dyDescent="0.35">
      <c r="A138" t="s">
        <v>342</v>
      </c>
      <c r="B138" t="s">
        <v>542</v>
      </c>
      <c r="C138" t="s">
        <v>787</v>
      </c>
      <c r="D138" t="s">
        <v>1018</v>
      </c>
      <c r="E138">
        <f>Orders!E137</f>
        <v>2</v>
      </c>
      <c r="F138" s="6">
        <f>Orders!K137</f>
        <v>123500</v>
      </c>
      <c r="G138" s="7" t="s">
        <v>946</v>
      </c>
      <c r="H138" t="s">
        <v>1063</v>
      </c>
      <c r="I138" t="s">
        <v>1110</v>
      </c>
      <c r="J138">
        <v>32</v>
      </c>
      <c r="K138" t="str">
        <f t="shared" si="2"/>
        <v>working adults</v>
      </c>
      <c r="L138" t="str">
        <f>Orders!R137</f>
        <v>Pending</v>
      </c>
      <c r="M138" t="str">
        <f>Orders!Q137</f>
        <v xml:space="preserve">EMI </v>
      </c>
    </row>
    <row r="139" spans="1:13" x14ac:dyDescent="0.35">
      <c r="A139" t="s">
        <v>343</v>
      </c>
      <c r="B139" t="s">
        <v>543</v>
      </c>
      <c r="C139" t="s">
        <v>788</v>
      </c>
      <c r="D139" t="s">
        <v>1018</v>
      </c>
      <c r="E139">
        <f>Orders!E138</f>
        <v>2</v>
      </c>
      <c r="F139" s="6">
        <f>Orders!K138</f>
        <v>122500</v>
      </c>
      <c r="G139" s="7" t="s">
        <v>947</v>
      </c>
      <c r="H139" t="s">
        <v>1073</v>
      </c>
      <c r="I139" t="s">
        <v>1104</v>
      </c>
      <c r="J139">
        <v>45</v>
      </c>
      <c r="K139" t="str">
        <f t="shared" si="2"/>
        <v>working adults</v>
      </c>
      <c r="L139" t="str">
        <f>Orders!R138</f>
        <v>Pending</v>
      </c>
      <c r="M139" t="str">
        <f>Orders!Q138</f>
        <v xml:space="preserve">EMI </v>
      </c>
    </row>
    <row r="140" spans="1:13" x14ac:dyDescent="0.35">
      <c r="A140" t="s">
        <v>344</v>
      </c>
      <c r="B140" t="s">
        <v>544</v>
      </c>
      <c r="C140" t="s">
        <v>789</v>
      </c>
      <c r="D140" t="s">
        <v>1018</v>
      </c>
      <c r="E140">
        <f>Orders!E139</f>
        <v>2</v>
      </c>
      <c r="F140" s="6">
        <f>Orders!K139</f>
        <v>123600</v>
      </c>
      <c r="G140" s="7" t="s">
        <v>948</v>
      </c>
      <c r="H140" t="s">
        <v>1075</v>
      </c>
      <c r="I140" t="s">
        <v>1104</v>
      </c>
      <c r="J140">
        <v>43</v>
      </c>
      <c r="K140" t="str">
        <f t="shared" si="2"/>
        <v>working adults</v>
      </c>
      <c r="L140" t="str">
        <f>Orders!R139</f>
        <v>Pending</v>
      </c>
      <c r="M140" t="str">
        <f>Orders!Q139</f>
        <v>Credit Card</v>
      </c>
    </row>
    <row r="141" spans="1:13" x14ac:dyDescent="0.35">
      <c r="A141" t="s">
        <v>345</v>
      </c>
      <c r="B141" t="s">
        <v>545</v>
      </c>
      <c r="C141" t="s">
        <v>740</v>
      </c>
      <c r="D141" t="s">
        <v>1013</v>
      </c>
      <c r="E141">
        <f>Orders!E140</f>
        <v>1</v>
      </c>
      <c r="F141" s="6">
        <f>Orders!K140</f>
        <v>89250</v>
      </c>
      <c r="G141" s="7" t="s">
        <v>949</v>
      </c>
      <c r="H141" t="s">
        <v>1055</v>
      </c>
      <c r="I141" t="s">
        <v>1109</v>
      </c>
      <c r="J141">
        <v>39</v>
      </c>
      <c r="K141" t="str">
        <f t="shared" si="2"/>
        <v>working adults</v>
      </c>
      <c r="L141" t="str">
        <f>Orders!R140</f>
        <v>Pending</v>
      </c>
      <c r="M141" t="str">
        <f>Orders!Q140</f>
        <v xml:space="preserve">EMI </v>
      </c>
    </row>
    <row r="142" spans="1:13" x14ac:dyDescent="0.35">
      <c r="A142" t="s">
        <v>346</v>
      </c>
      <c r="B142" t="s">
        <v>546</v>
      </c>
      <c r="C142" t="s">
        <v>741</v>
      </c>
      <c r="D142" t="s">
        <v>1013</v>
      </c>
      <c r="E142">
        <f>Orders!E141</f>
        <v>1</v>
      </c>
      <c r="F142" s="6">
        <f>Orders!K141</f>
        <v>97200</v>
      </c>
      <c r="G142" s="7" t="s">
        <v>950</v>
      </c>
      <c r="H142" t="s">
        <v>1070</v>
      </c>
      <c r="I142" t="s">
        <v>1099</v>
      </c>
      <c r="J142">
        <v>40</v>
      </c>
      <c r="K142" t="str">
        <f t="shared" si="2"/>
        <v>working adults</v>
      </c>
      <c r="L142" t="str">
        <f>Orders!R141</f>
        <v>Pending</v>
      </c>
      <c r="M142" t="str">
        <f>Orders!Q141</f>
        <v xml:space="preserve">EMI </v>
      </c>
    </row>
    <row r="143" spans="1:13" x14ac:dyDescent="0.35">
      <c r="A143" t="s">
        <v>347</v>
      </c>
      <c r="B143" t="s">
        <v>547</v>
      </c>
      <c r="C143" t="s">
        <v>790</v>
      </c>
      <c r="D143" t="s">
        <v>1033</v>
      </c>
      <c r="E143">
        <f>Orders!E142</f>
        <v>2</v>
      </c>
      <c r="F143" s="6">
        <f>Orders!K142</f>
        <v>128800</v>
      </c>
      <c r="G143" s="7" t="s">
        <v>951</v>
      </c>
      <c r="H143" t="s">
        <v>1074</v>
      </c>
      <c r="I143" t="s">
        <v>1099</v>
      </c>
      <c r="J143">
        <v>43</v>
      </c>
      <c r="K143" t="str">
        <f t="shared" si="2"/>
        <v>working adults</v>
      </c>
      <c r="L143" t="str">
        <f>Orders!R142</f>
        <v>Pending</v>
      </c>
      <c r="M143" t="str">
        <f>Orders!Q142</f>
        <v xml:space="preserve">EMI </v>
      </c>
    </row>
    <row r="144" spans="1:13" x14ac:dyDescent="0.35">
      <c r="A144" t="s">
        <v>348</v>
      </c>
      <c r="B144" t="s">
        <v>548</v>
      </c>
      <c r="C144" t="s">
        <v>742</v>
      </c>
      <c r="D144" t="s">
        <v>1013</v>
      </c>
      <c r="E144">
        <f>Orders!E143</f>
        <v>1</v>
      </c>
      <c r="F144" s="6">
        <f>Orders!K143</f>
        <v>47250</v>
      </c>
      <c r="G144" s="7" t="s">
        <v>952</v>
      </c>
      <c r="H144" t="s">
        <v>1061</v>
      </c>
      <c r="I144" t="s">
        <v>1099</v>
      </c>
      <c r="J144">
        <v>41</v>
      </c>
      <c r="K144" t="str">
        <f t="shared" si="2"/>
        <v>working adults</v>
      </c>
      <c r="L144" t="str">
        <f>Orders!R143</f>
        <v>Pending</v>
      </c>
      <c r="M144" t="str">
        <f>Orders!Q143</f>
        <v>Credit Card</v>
      </c>
    </row>
    <row r="145" spans="1:13" x14ac:dyDescent="0.35">
      <c r="A145" t="s">
        <v>349</v>
      </c>
      <c r="B145" t="s">
        <v>549</v>
      </c>
      <c r="C145" t="s">
        <v>770</v>
      </c>
      <c r="D145" t="s">
        <v>1034</v>
      </c>
      <c r="E145">
        <f>Orders!E144</f>
        <v>3</v>
      </c>
      <c r="F145" s="6">
        <f>Orders!K144</f>
        <v>94080</v>
      </c>
      <c r="G145" s="7" t="s">
        <v>953</v>
      </c>
      <c r="H145" t="s">
        <v>1052</v>
      </c>
      <c r="I145" t="s">
        <v>1104</v>
      </c>
      <c r="J145">
        <v>34</v>
      </c>
      <c r="K145" t="str">
        <f t="shared" si="2"/>
        <v>working adults</v>
      </c>
      <c r="L145" t="str">
        <f>Orders!R144</f>
        <v>Pending</v>
      </c>
      <c r="M145" t="str">
        <f>Orders!Q144</f>
        <v xml:space="preserve">EMI </v>
      </c>
    </row>
    <row r="146" spans="1:13" x14ac:dyDescent="0.35">
      <c r="A146" t="s">
        <v>350</v>
      </c>
      <c r="B146" t="s">
        <v>550</v>
      </c>
      <c r="C146" t="s">
        <v>743</v>
      </c>
      <c r="D146" t="s">
        <v>1013</v>
      </c>
      <c r="E146">
        <f>Orders!E145</f>
        <v>1</v>
      </c>
      <c r="F146" s="6">
        <f>Orders!K145</f>
        <v>281750</v>
      </c>
      <c r="G146" s="7" t="s">
        <v>954</v>
      </c>
      <c r="H146" t="s">
        <v>1049</v>
      </c>
      <c r="I146" t="s">
        <v>1099</v>
      </c>
      <c r="J146">
        <v>26</v>
      </c>
      <c r="K146" t="str">
        <f t="shared" si="2"/>
        <v>working adults</v>
      </c>
      <c r="L146" t="str">
        <f>Orders!R145</f>
        <v>Pending</v>
      </c>
      <c r="M146" t="str">
        <f>Orders!Q145</f>
        <v xml:space="preserve">EMI </v>
      </c>
    </row>
    <row r="147" spans="1:13" x14ac:dyDescent="0.35">
      <c r="A147" t="s">
        <v>351</v>
      </c>
      <c r="B147" t="s">
        <v>551</v>
      </c>
      <c r="C147" t="s">
        <v>771</v>
      </c>
      <c r="D147" t="s">
        <v>1013</v>
      </c>
      <c r="E147">
        <f>Orders!E146</f>
        <v>2</v>
      </c>
      <c r="F147" s="6">
        <f>Orders!K146</f>
        <v>79577.7</v>
      </c>
      <c r="G147" s="7" t="s">
        <v>955</v>
      </c>
      <c r="H147" t="s">
        <v>1087</v>
      </c>
      <c r="I147" t="s">
        <v>1104</v>
      </c>
      <c r="J147">
        <v>25</v>
      </c>
      <c r="K147" t="str">
        <f t="shared" si="2"/>
        <v>student</v>
      </c>
      <c r="L147" t="str">
        <f>Orders!R146</f>
        <v>Pending</v>
      </c>
      <c r="M147" t="str">
        <f>Orders!Q146</f>
        <v xml:space="preserve">EMI </v>
      </c>
    </row>
    <row r="148" spans="1:13" x14ac:dyDescent="0.35">
      <c r="A148" t="s">
        <v>352</v>
      </c>
      <c r="B148" t="s">
        <v>552</v>
      </c>
      <c r="C148" t="s">
        <v>749</v>
      </c>
      <c r="D148" t="s">
        <v>1013</v>
      </c>
      <c r="E148">
        <f>Orders!E147</f>
        <v>3</v>
      </c>
      <c r="F148" s="6">
        <f>Orders!K147</f>
        <v>164203.19999999998</v>
      </c>
      <c r="G148" s="7" t="s">
        <v>956</v>
      </c>
      <c r="H148" t="s">
        <v>1082</v>
      </c>
      <c r="I148" t="s">
        <v>1109</v>
      </c>
      <c r="J148">
        <v>29</v>
      </c>
      <c r="K148" t="str">
        <f t="shared" si="2"/>
        <v>working adults</v>
      </c>
      <c r="L148" t="str">
        <f>Orders!R147</f>
        <v>Pending</v>
      </c>
      <c r="M148" t="str">
        <f>Orders!Q147</f>
        <v>Credit Card</v>
      </c>
    </row>
    <row r="149" spans="1:13" x14ac:dyDescent="0.35">
      <c r="A149" t="s">
        <v>353</v>
      </c>
      <c r="B149" t="s">
        <v>553</v>
      </c>
      <c r="C149" t="s">
        <v>791</v>
      </c>
      <c r="D149" t="s">
        <v>1018</v>
      </c>
      <c r="E149">
        <f>Orders!E148</f>
        <v>4</v>
      </c>
      <c r="F149" s="6">
        <f>Orders!K148</f>
        <v>61725</v>
      </c>
      <c r="G149" s="7" t="s">
        <v>957</v>
      </c>
      <c r="H149" t="s">
        <v>1088</v>
      </c>
      <c r="I149" t="s">
        <v>1099</v>
      </c>
      <c r="J149">
        <v>30</v>
      </c>
      <c r="K149" t="str">
        <f t="shared" si="2"/>
        <v>working adults</v>
      </c>
      <c r="L149" t="str">
        <f>Orders!R148</f>
        <v>Pending</v>
      </c>
      <c r="M149" t="str">
        <f>Orders!Q148</f>
        <v xml:space="preserve">EMI </v>
      </c>
    </row>
    <row r="150" spans="1:13" x14ac:dyDescent="0.35">
      <c r="A150" t="s">
        <v>354</v>
      </c>
      <c r="B150" t="s">
        <v>554</v>
      </c>
      <c r="C150" t="s">
        <v>744</v>
      </c>
      <c r="D150" t="s">
        <v>1013</v>
      </c>
      <c r="E150">
        <f>Orders!E149</f>
        <v>1</v>
      </c>
      <c r="F150" s="6">
        <f>Orders!K149</f>
        <v>39000</v>
      </c>
      <c r="G150" s="7" t="s">
        <v>958</v>
      </c>
      <c r="H150" t="s">
        <v>1064</v>
      </c>
      <c r="I150" t="s">
        <v>1109</v>
      </c>
      <c r="J150">
        <v>32</v>
      </c>
      <c r="K150" t="str">
        <f t="shared" si="2"/>
        <v>working adults</v>
      </c>
      <c r="L150" t="str">
        <f>Orders!R149</f>
        <v>Pending</v>
      </c>
      <c r="M150" t="str">
        <f>Orders!Q149</f>
        <v xml:space="preserve">EMI </v>
      </c>
    </row>
    <row r="151" spans="1:13" x14ac:dyDescent="0.35">
      <c r="A151" t="s">
        <v>355</v>
      </c>
      <c r="B151" t="s">
        <v>555</v>
      </c>
      <c r="C151" t="s">
        <v>792</v>
      </c>
      <c r="D151" t="s">
        <v>1018</v>
      </c>
      <c r="E151">
        <f>Orders!E150</f>
        <v>3</v>
      </c>
      <c r="F151" s="6">
        <f>Orders!K150</f>
        <v>117180</v>
      </c>
      <c r="G151" s="7" t="s">
        <v>959</v>
      </c>
      <c r="H151" t="s">
        <v>1089</v>
      </c>
      <c r="I151" t="s">
        <v>1109</v>
      </c>
      <c r="J151">
        <v>31</v>
      </c>
      <c r="K151" t="str">
        <f t="shared" si="2"/>
        <v>working adults</v>
      </c>
      <c r="L151" t="str">
        <f>Orders!R150</f>
        <v>Pending</v>
      </c>
      <c r="M151" t="str">
        <f>Orders!Q150</f>
        <v xml:space="preserve">EMI </v>
      </c>
    </row>
    <row r="152" spans="1:13" x14ac:dyDescent="0.35">
      <c r="A152" t="s">
        <v>356</v>
      </c>
      <c r="B152" t="s">
        <v>556</v>
      </c>
      <c r="C152" t="s">
        <v>793</v>
      </c>
      <c r="D152" t="s">
        <v>1033</v>
      </c>
      <c r="E152">
        <f>Orders!E151</f>
        <v>3</v>
      </c>
      <c r="F152" s="6">
        <f>Orders!K151</f>
        <v>110400</v>
      </c>
      <c r="G152" s="7" t="s">
        <v>960</v>
      </c>
      <c r="H152" t="s">
        <v>1087</v>
      </c>
      <c r="I152" t="s">
        <v>1102</v>
      </c>
      <c r="J152">
        <v>33</v>
      </c>
      <c r="K152" t="str">
        <f t="shared" si="2"/>
        <v>working adults</v>
      </c>
      <c r="L152" t="str">
        <f>Orders!R151</f>
        <v>Pending</v>
      </c>
      <c r="M152" t="str">
        <f>Orders!Q151</f>
        <v xml:space="preserve">EMI </v>
      </c>
    </row>
    <row r="153" spans="1:13" x14ac:dyDescent="0.35">
      <c r="A153" t="s">
        <v>357</v>
      </c>
      <c r="B153" t="s">
        <v>557</v>
      </c>
      <c r="C153" t="s">
        <v>794</v>
      </c>
      <c r="D153" t="s">
        <v>1018</v>
      </c>
      <c r="E153">
        <f>Orders!E152</f>
        <v>3</v>
      </c>
      <c r="F153" s="6">
        <f>Orders!K152</f>
        <v>103950</v>
      </c>
      <c r="G153" s="7" t="s">
        <v>961</v>
      </c>
      <c r="H153" t="s">
        <v>1090</v>
      </c>
      <c r="I153" t="s">
        <v>1109</v>
      </c>
      <c r="J153">
        <v>32</v>
      </c>
      <c r="K153" t="str">
        <f t="shared" si="2"/>
        <v>working adults</v>
      </c>
      <c r="L153" t="str">
        <f>Orders!R152</f>
        <v>Pending</v>
      </c>
      <c r="M153" t="str">
        <f>Orders!Q152</f>
        <v xml:space="preserve">EMI </v>
      </c>
    </row>
    <row r="154" spans="1:13" x14ac:dyDescent="0.35">
      <c r="A154" t="s">
        <v>358</v>
      </c>
      <c r="B154" t="s">
        <v>558</v>
      </c>
      <c r="C154" t="s">
        <v>795</v>
      </c>
      <c r="D154" t="s">
        <v>1018</v>
      </c>
      <c r="E154">
        <f>Orders!E153</f>
        <v>3</v>
      </c>
      <c r="F154" s="6">
        <f>Orders!K153</f>
        <v>117300</v>
      </c>
      <c r="G154" s="7" t="s">
        <v>962</v>
      </c>
      <c r="H154" t="s">
        <v>1091</v>
      </c>
      <c r="I154" t="s">
        <v>1109</v>
      </c>
      <c r="J154">
        <v>23</v>
      </c>
      <c r="K154" t="str">
        <f t="shared" si="2"/>
        <v>student</v>
      </c>
      <c r="L154" t="str">
        <f>Orders!R153</f>
        <v>Pending</v>
      </c>
      <c r="M154" t="str">
        <f>Orders!Q153</f>
        <v xml:space="preserve">EMI </v>
      </c>
    </row>
    <row r="155" spans="1:13" x14ac:dyDescent="0.35">
      <c r="A155" t="s">
        <v>359</v>
      </c>
      <c r="B155" t="s">
        <v>559</v>
      </c>
      <c r="C155" t="s">
        <v>796</v>
      </c>
      <c r="D155" t="s">
        <v>1018</v>
      </c>
      <c r="E155">
        <f>Orders!E154</f>
        <v>4</v>
      </c>
      <c r="F155" s="6">
        <f>Orders!K154</f>
        <v>161000</v>
      </c>
      <c r="G155" s="7" t="s">
        <v>963</v>
      </c>
      <c r="H155" t="s">
        <v>1081</v>
      </c>
      <c r="I155" t="s">
        <v>1099</v>
      </c>
      <c r="J155">
        <v>26</v>
      </c>
      <c r="K155" t="str">
        <f t="shared" si="2"/>
        <v>working adults</v>
      </c>
      <c r="L155" t="str">
        <f>Orders!R154</f>
        <v>Pending</v>
      </c>
      <c r="M155" t="str">
        <f>Orders!Q154</f>
        <v>Credit Card</v>
      </c>
    </row>
    <row r="156" spans="1:13" x14ac:dyDescent="0.35">
      <c r="A156" t="s">
        <v>360</v>
      </c>
      <c r="B156" t="s">
        <v>560</v>
      </c>
      <c r="C156" t="s">
        <v>797</v>
      </c>
      <c r="D156" t="s">
        <v>1018</v>
      </c>
      <c r="E156">
        <f>Orders!E155</f>
        <v>4</v>
      </c>
      <c r="F156" s="6">
        <f>Orders!K155</f>
        <v>187200</v>
      </c>
      <c r="G156" s="7" t="s">
        <v>964</v>
      </c>
      <c r="H156" t="s">
        <v>1066</v>
      </c>
      <c r="I156" t="s">
        <v>1066</v>
      </c>
      <c r="J156">
        <v>27</v>
      </c>
      <c r="K156" t="str">
        <f t="shared" si="2"/>
        <v>working adults</v>
      </c>
      <c r="L156" t="str">
        <f>Orders!R155</f>
        <v>Pending</v>
      </c>
      <c r="M156" t="str">
        <f>Orders!Q155</f>
        <v>Credit Card</v>
      </c>
    </row>
    <row r="157" spans="1:13" x14ac:dyDescent="0.35">
      <c r="A157" t="s">
        <v>361</v>
      </c>
      <c r="B157" t="s">
        <v>561</v>
      </c>
      <c r="C157" t="s">
        <v>798</v>
      </c>
      <c r="D157" t="s">
        <v>1018</v>
      </c>
      <c r="E157">
        <f>Orders!E156</f>
        <v>4</v>
      </c>
      <c r="F157" s="6">
        <f>Orders!K156</f>
        <v>185000</v>
      </c>
      <c r="G157" s="7" t="s">
        <v>965</v>
      </c>
      <c r="H157" t="s">
        <v>1073</v>
      </c>
      <c r="I157" t="s">
        <v>1104</v>
      </c>
      <c r="J157">
        <v>31</v>
      </c>
      <c r="K157" t="str">
        <f t="shared" si="2"/>
        <v>working adults</v>
      </c>
      <c r="L157" t="str">
        <f>Orders!R156</f>
        <v>Pending</v>
      </c>
      <c r="M157" t="str">
        <f>Orders!Q156</f>
        <v xml:space="preserve">EMI </v>
      </c>
    </row>
    <row r="158" spans="1:13" x14ac:dyDescent="0.35">
      <c r="A158" t="s">
        <v>362</v>
      </c>
      <c r="B158" t="s">
        <v>562</v>
      </c>
      <c r="C158" t="s">
        <v>799</v>
      </c>
      <c r="D158" t="s">
        <v>1018</v>
      </c>
      <c r="E158">
        <f>Orders!E157</f>
        <v>4</v>
      </c>
      <c r="F158" s="6">
        <f>Orders!K157</f>
        <v>197600</v>
      </c>
      <c r="G158" s="7" t="s">
        <v>966</v>
      </c>
      <c r="H158" t="s">
        <v>1071</v>
      </c>
      <c r="I158" t="s">
        <v>1099</v>
      </c>
      <c r="J158">
        <v>32</v>
      </c>
      <c r="K158" t="str">
        <f t="shared" si="2"/>
        <v>working adults</v>
      </c>
      <c r="L158" t="str">
        <f>Orders!R157</f>
        <v>Pending</v>
      </c>
      <c r="M158" t="str">
        <f>Orders!Q157</f>
        <v xml:space="preserve">EMI </v>
      </c>
    </row>
    <row r="159" spans="1:13" x14ac:dyDescent="0.35">
      <c r="A159" t="s">
        <v>363</v>
      </c>
      <c r="B159" t="s">
        <v>563</v>
      </c>
      <c r="C159" t="s">
        <v>796</v>
      </c>
      <c r="D159" t="s">
        <v>1018</v>
      </c>
      <c r="E159">
        <f>Orders!E158</f>
        <v>4</v>
      </c>
      <c r="F159" s="6">
        <f>Orders!K158</f>
        <v>198120</v>
      </c>
      <c r="G159" s="7" t="s">
        <v>967</v>
      </c>
      <c r="H159" t="s">
        <v>1062</v>
      </c>
      <c r="I159" t="s">
        <v>1109</v>
      </c>
      <c r="J159">
        <v>37</v>
      </c>
      <c r="K159" t="str">
        <f t="shared" si="2"/>
        <v>working adults</v>
      </c>
      <c r="L159" t="str">
        <f>Orders!R158</f>
        <v>Pending</v>
      </c>
      <c r="M159" t="str">
        <f>Orders!Q158</f>
        <v xml:space="preserve">EMI </v>
      </c>
    </row>
    <row r="160" spans="1:13" x14ac:dyDescent="0.35">
      <c r="A160" t="s">
        <v>364</v>
      </c>
      <c r="B160" t="s">
        <v>564</v>
      </c>
      <c r="C160" t="s">
        <v>800</v>
      </c>
      <c r="D160" t="s">
        <v>1018</v>
      </c>
      <c r="E160">
        <f>Orders!E159</f>
        <v>4</v>
      </c>
      <c r="F160" s="6">
        <f>Orders!K159</f>
        <v>201600</v>
      </c>
      <c r="G160" s="7" t="s">
        <v>1117</v>
      </c>
      <c r="H160" t="s">
        <v>1064</v>
      </c>
      <c r="I160" t="s">
        <v>1109</v>
      </c>
      <c r="J160">
        <v>65</v>
      </c>
      <c r="K160" t="str">
        <f t="shared" si="2"/>
        <v>Senior Citizen</v>
      </c>
      <c r="L160" t="str">
        <f>Orders!R159</f>
        <v>Pending</v>
      </c>
      <c r="M160" t="str">
        <f>Orders!Q159</f>
        <v>Buy Now Pay later</v>
      </c>
    </row>
    <row r="161" spans="1:13" x14ac:dyDescent="0.35">
      <c r="A161" t="s">
        <v>365</v>
      </c>
      <c r="B161" t="s">
        <v>565</v>
      </c>
      <c r="C161" t="s">
        <v>801</v>
      </c>
      <c r="D161" t="s">
        <v>1018</v>
      </c>
      <c r="E161">
        <f>Orders!E160</f>
        <v>5</v>
      </c>
      <c r="F161" s="6">
        <f>Orders!K160</f>
        <v>254200</v>
      </c>
      <c r="G161" s="7" t="s">
        <v>968</v>
      </c>
      <c r="H161" t="s">
        <v>1092</v>
      </c>
      <c r="I161" t="s">
        <v>1113</v>
      </c>
      <c r="J161">
        <v>66</v>
      </c>
      <c r="K161" t="str">
        <f t="shared" si="2"/>
        <v>Senior Citizen</v>
      </c>
      <c r="L161" t="str">
        <f>Orders!R160</f>
        <v>Pending</v>
      </c>
      <c r="M161" t="str">
        <f>Orders!Q160</f>
        <v xml:space="preserve">EMI </v>
      </c>
    </row>
    <row r="162" spans="1:13" x14ac:dyDescent="0.35">
      <c r="A162" t="s">
        <v>366</v>
      </c>
      <c r="B162" t="s">
        <v>566</v>
      </c>
      <c r="C162" t="s">
        <v>802</v>
      </c>
      <c r="D162" t="s">
        <v>1018</v>
      </c>
      <c r="E162">
        <f>Orders!E161</f>
        <v>5</v>
      </c>
      <c r="F162" s="6">
        <f>Orders!K161</f>
        <v>268800</v>
      </c>
      <c r="G162" s="7" t="s">
        <v>969</v>
      </c>
      <c r="H162" t="s">
        <v>1092</v>
      </c>
      <c r="I162" t="s">
        <v>1113</v>
      </c>
      <c r="J162">
        <v>29</v>
      </c>
      <c r="K162" t="str">
        <f t="shared" si="2"/>
        <v>working adults</v>
      </c>
      <c r="L162" t="str">
        <f>Orders!R161</f>
        <v>Pending</v>
      </c>
      <c r="M162" t="str">
        <f>Orders!Q161</f>
        <v xml:space="preserve">EMI </v>
      </c>
    </row>
    <row r="163" spans="1:13" x14ac:dyDescent="0.35">
      <c r="A163" t="s">
        <v>367</v>
      </c>
      <c r="B163" t="s">
        <v>567</v>
      </c>
      <c r="C163" t="s">
        <v>803</v>
      </c>
      <c r="D163" t="s">
        <v>1018</v>
      </c>
      <c r="E163">
        <f>Orders!E162</f>
        <v>5</v>
      </c>
      <c r="F163" s="6">
        <f>Orders!K162</f>
        <v>277350</v>
      </c>
      <c r="G163" s="7" t="s">
        <v>970</v>
      </c>
      <c r="H163" t="s">
        <v>1087</v>
      </c>
      <c r="I163" t="s">
        <v>1102</v>
      </c>
      <c r="J163">
        <v>32</v>
      </c>
      <c r="K163" t="str">
        <f t="shared" si="2"/>
        <v>working adults</v>
      </c>
      <c r="L163" t="str">
        <f>Orders!R162</f>
        <v>Pending</v>
      </c>
      <c r="M163" t="str">
        <f>Orders!Q162</f>
        <v>Credit Card</v>
      </c>
    </row>
    <row r="164" spans="1:13" x14ac:dyDescent="0.35">
      <c r="A164" t="s">
        <v>368</v>
      </c>
      <c r="B164" t="s">
        <v>568</v>
      </c>
      <c r="C164" t="s">
        <v>794</v>
      </c>
      <c r="D164" t="s">
        <v>1018</v>
      </c>
      <c r="E164">
        <f>Orders!E163</f>
        <v>5</v>
      </c>
      <c r="F164" s="6">
        <f>Orders!K163</f>
        <v>220000</v>
      </c>
      <c r="G164" s="7" t="s">
        <v>971</v>
      </c>
      <c r="H164" t="s">
        <v>1082</v>
      </c>
      <c r="I164" t="s">
        <v>1109</v>
      </c>
      <c r="J164">
        <v>35</v>
      </c>
      <c r="K164" t="str">
        <f t="shared" si="2"/>
        <v>working adults</v>
      </c>
      <c r="L164" t="str">
        <f>Orders!R163</f>
        <v>Pending</v>
      </c>
      <c r="M164" t="str">
        <f>Orders!Q163</f>
        <v xml:space="preserve">EMI </v>
      </c>
    </row>
    <row r="165" spans="1:13" x14ac:dyDescent="0.35">
      <c r="A165" t="s">
        <v>369</v>
      </c>
      <c r="B165" t="s">
        <v>569</v>
      </c>
      <c r="C165" t="s">
        <v>794</v>
      </c>
      <c r="D165" t="s">
        <v>1018</v>
      </c>
      <c r="E165">
        <f>Orders!E164</f>
        <v>5</v>
      </c>
      <c r="F165" s="6">
        <f>Orders!K164</f>
        <v>225000</v>
      </c>
      <c r="G165" s="7" t="s">
        <v>972</v>
      </c>
      <c r="H165" t="s">
        <v>1055</v>
      </c>
      <c r="I165" t="s">
        <v>1109</v>
      </c>
      <c r="J165">
        <v>27</v>
      </c>
      <c r="K165" t="str">
        <f t="shared" si="2"/>
        <v>working adults</v>
      </c>
      <c r="L165" t="str">
        <f>Orders!R164</f>
        <v>Pending</v>
      </c>
      <c r="M165" t="str">
        <f>Orders!Q164</f>
        <v>Credit Card</v>
      </c>
    </row>
    <row r="166" spans="1:13" x14ac:dyDescent="0.35">
      <c r="A166" t="s">
        <v>370</v>
      </c>
      <c r="B166" t="s">
        <v>570</v>
      </c>
      <c r="C166" t="s">
        <v>794</v>
      </c>
      <c r="D166" t="s">
        <v>1033</v>
      </c>
      <c r="E166">
        <f>Orders!E165</f>
        <v>5</v>
      </c>
      <c r="F166" s="6">
        <f>Orders!K165</f>
        <v>230000</v>
      </c>
      <c r="G166" s="7" t="s">
        <v>973</v>
      </c>
      <c r="H166" t="s">
        <v>1088</v>
      </c>
      <c r="I166" t="s">
        <v>1099</v>
      </c>
      <c r="J166">
        <v>25</v>
      </c>
      <c r="K166" t="str">
        <f t="shared" si="2"/>
        <v>student</v>
      </c>
      <c r="L166" t="str">
        <f>Orders!R165</f>
        <v>Pending</v>
      </c>
      <c r="M166" t="str">
        <f>Orders!Q165</f>
        <v xml:space="preserve">EMI </v>
      </c>
    </row>
    <row r="167" spans="1:13" x14ac:dyDescent="0.35">
      <c r="A167" t="s">
        <v>371</v>
      </c>
      <c r="B167" t="s">
        <v>571</v>
      </c>
      <c r="C167" t="s">
        <v>794</v>
      </c>
      <c r="D167" t="s">
        <v>1033</v>
      </c>
      <c r="E167">
        <f>Orders!E166</f>
        <v>5</v>
      </c>
      <c r="F167" s="6">
        <f>Orders!K166</f>
        <v>282000</v>
      </c>
      <c r="G167" s="7" t="s">
        <v>974</v>
      </c>
      <c r="H167" t="s">
        <v>1082</v>
      </c>
      <c r="I167" t="s">
        <v>1109</v>
      </c>
      <c r="J167">
        <v>29</v>
      </c>
      <c r="K167" t="str">
        <f t="shared" si="2"/>
        <v>working adults</v>
      </c>
      <c r="L167" t="str">
        <f>Orders!R166</f>
        <v>Pending</v>
      </c>
      <c r="M167" t="str">
        <f>Orders!Q166</f>
        <v xml:space="preserve">EMI </v>
      </c>
    </row>
    <row r="168" spans="1:13" x14ac:dyDescent="0.35">
      <c r="A168" t="s">
        <v>372</v>
      </c>
      <c r="B168" t="s">
        <v>572</v>
      </c>
      <c r="C168" t="s">
        <v>794</v>
      </c>
      <c r="D168" t="s">
        <v>1033</v>
      </c>
      <c r="E168">
        <f>Orders!E167</f>
        <v>5</v>
      </c>
      <c r="F168" s="6">
        <f>Orders!K167</f>
        <v>325200</v>
      </c>
      <c r="G168" s="7" t="s">
        <v>975</v>
      </c>
      <c r="H168" t="s">
        <v>1055</v>
      </c>
      <c r="I168" t="s">
        <v>1109</v>
      </c>
      <c r="J168">
        <v>26</v>
      </c>
      <c r="K168" t="str">
        <f t="shared" si="2"/>
        <v>working adults</v>
      </c>
      <c r="L168" t="str">
        <f>Orders!R167</f>
        <v>Pending</v>
      </c>
      <c r="M168" t="str">
        <f>Orders!Q167</f>
        <v xml:space="preserve">EMI </v>
      </c>
    </row>
    <row r="169" spans="1:13" x14ac:dyDescent="0.35">
      <c r="A169" t="s">
        <v>373</v>
      </c>
      <c r="B169" t="s">
        <v>573</v>
      </c>
      <c r="C169" t="s">
        <v>794</v>
      </c>
      <c r="D169" t="s">
        <v>1033</v>
      </c>
      <c r="E169">
        <f>Orders!E168</f>
        <v>5</v>
      </c>
      <c r="F169" s="6">
        <f>Orders!K168</f>
        <v>329525</v>
      </c>
      <c r="G169" s="7" t="s">
        <v>976</v>
      </c>
      <c r="H169" t="s">
        <v>1093</v>
      </c>
      <c r="I169" t="s">
        <v>1099</v>
      </c>
      <c r="J169">
        <v>24</v>
      </c>
      <c r="K169" t="str">
        <f t="shared" si="2"/>
        <v>student</v>
      </c>
      <c r="L169" t="str">
        <f>Orders!R168</f>
        <v>Pending</v>
      </c>
      <c r="M169" t="str">
        <f>Orders!Q168</f>
        <v xml:space="preserve">EMI </v>
      </c>
    </row>
    <row r="170" spans="1:13" x14ac:dyDescent="0.35">
      <c r="A170" t="s">
        <v>374</v>
      </c>
      <c r="B170" t="s">
        <v>574</v>
      </c>
      <c r="C170" t="s">
        <v>1037</v>
      </c>
      <c r="D170" t="s">
        <v>1013</v>
      </c>
      <c r="E170">
        <f>Orders!E169</f>
        <v>5</v>
      </c>
      <c r="F170" s="6">
        <f>Orders!K169</f>
        <v>250000</v>
      </c>
      <c r="G170" s="7" t="s">
        <v>977</v>
      </c>
      <c r="H170" t="s">
        <v>1054</v>
      </c>
      <c r="I170" t="s">
        <v>1099</v>
      </c>
      <c r="J170">
        <v>21</v>
      </c>
      <c r="K170" t="str">
        <f t="shared" si="2"/>
        <v>student</v>
      </c>
      <c r="L170" t="str">
        <f>Orders!R169</f>
        <v>Pending</v>
      </c>
      <c r="M170" t="str">
        <f>Orders!Q169</f>
        <v xml:space="preserve">EMI </v>
      </c>
    </row>
    <row r="171" spans="1:13" x14ac:dyDescent="0.35">
      <c r="A171" t="s">
        <v>375</v>
      </c>
      <c r="B171" t="s">
        <v>575</v>
      </c>
      <c r="C171" t="s">
        <v>1037</v>
      </c>
      <c r="D171" t="s">
        <v>1013</v>
      </c>
      <c r="E171">
        <f>Orders!E170</f>
        <v>5</v>
      </c>
      <c r="F171" s="6">
        <f>Orders!K170</f>
        <v>331500</v>
      </c>
      <c r="G171" s="7" t="s">
        <v>978</v>
      </c>
      <c r="H171" t="s">
        <v>1063</v>
      </c>
      <c r="I171" t="s">
        <v>1110</v>
      </c>
      <c r="J171">
        <v>31</v>
      </c>
      <c r="K171" t="str">
        <f t="shared" si="2"/>
        <v>working adults</v>
      </c>
      <c r="L171" t="str">
        <f>Orders!R170</f>
        <v>Pending</v>
      </c>
      <c r="M171" t="str">
        <f>Orders!Q170</f>
        <v xml:space="preserve">EMI </v>
      </c>
    </row>
    <row r="172" spans="1:13" x14ac:dyDescent="0.35">
      <c r="A172" t="s">
        <v>376</v>
      </c>
      <c r="B172" t="s">
        <v>576</v>
      </c>
      <c r="C172" t="s">
        <v>1038</v>
      </c>
      <c r="D172" t="s">
        <v>1013</v>
      </c>
      <c r="E172">
        <f>Orders!E171</f>
        <v>6</v>
      </c>
      <c r="F172" s="6">
        <f>Orders!K171</f>
        <v>405600</v>
      </c>
      <c r="G172" s="7" t="s">
        <v>979</v>
      </c>
      <c r="H172" t="s">
        <v>1062</v>
      </c>
      <c r="I172" t="s">
        <v>1109</v>
      </c>
      <c r="J172">
        <v>34</v>
      </c>
      <c r="K172" t="str">
        <f t="shared" si="2"/>
        <v>working adults</v>
      </c>
      <c r="L172" t="str">
        <f>Orders!R171</f>
        <v>Pending</v>
      </c>
      <c r="M172" t="str">
        <f>Orders!Q171</f>
        <v xml:space="preserve">EMI </v>
      </c>
    </row>
    <row r="173" spans="1:13" x14ac:dyDescent="0.35">
      <c r="A173" t="s">
        <v>377</v>
      </c>
      <c r="B173" t="s">
        <v>577</v>
      </c>
      <c r="C173" t="s">
        <v>1039</v>
      </c>
      <c r="D173" t="s">
        <v>1013</v>
      </c>
      <c r="E173">
        <f>Orders!E172</f>
        <v>6</v>
      </c>
      <c r="F173" s="6">
        <f>Orders!K172</f>
        <v>403860</v>
      </c>
      <c r="G173" s="7" t="s">
        <v>980</v>
      </c>
      <c r="H173" t="s">
        <v>1093</v>
      </c>
      <c r="I173" t="s">
        <v>1099</v>
      </c>
      <c r="J173">
        <v>45</v>
      </c>
      <c r="K173" t="str">
        <f t="shared" si="2"/>
        <v>working adults</v>
      </c>
      <c r="L173" t="str">
        <f>Orders!R172</f>
        <v>Pending</v>
      </c>
      <c r="M173" t="str">
        <f>Orders!Q172</f>
        <v xml:space="preserve">EMI </v>
      </c>
    </row>
    <row r="174" spans="1:13" x14ac:dyDescent="0.35">
      <c r="A174" t="s">
        <v>378</v>
      </c>
      <c r="B174" t="s">
        <v>578</v>
      </c>
      <c r="C174" t="s">
        <v>1037</v>
      </c>
      <c r="D174" t="s">
        <v>1013</v>
      </c>
      <c r="E174">
        <f>Orders!E173</f>
        <v>7</v>
      </c>
      <c r="F174" s="6">
        <f>Orders!K173</f>
        <v>498960</v>
      </c>
      <c r="G174" s="7" t="s">
        <v>981</v>
      </c>
      <c r="H174" t="s">
        <v>1094</v>
      </c>
      <c r="I174" t="s">
        <v>1099</v>
      </c>
      <c r="J174">
        <v>42</v>
      </c>
      <c r="K174" t="str">
        <f t="shared" si="2"/>
        <v>working adults</v>
      </c>
      <c r="L174" t="str">
        <f>Orders!R173</f>
        <v>Pending</v>
      </c>
      <c r="M174" t="str">
        <f>Orders!Q173</f>
        <v xml:space="preserve">EMI </v>
      </c>
    </row>
    <row r="175" spans="1:13" x14ac:dyDescent="0.35">
      <c r="A175" t="s">
        <v>379</v>
      </c>
      <c r="B175" t="s">
        <v>579</v>
      </c>
      <c r="C175" t="s">
        <v>1040</v>
      </c>
      <c r="D175" t="s">
        <v>1023</v>
      </c>
      <c r="E175">
        <f>Orders!E174</f>
        <v>6</v>
      </c>
      <c r="F175" s="6">
        <f>Orders!K174</f>
        <v>448800</v>
      </c>
      <c r="G175" s="7" t="s">
        <v>982</v>
      </c>
      <c r="H175" t="s">
        <v>1082</v>
      </c>
      <c r="I175" t="s">
        <v>1109</v>
      </c>
      <c r="J175">
        <v>41</v>
      </c>
      <c r="K175" t="str">
        <f t="shared" si="2"/>
        <v>working adults</v>
      </c>
      <c r="L175" t="str">
        <f>Orders!R174</f>
        <v>Pending</v>
      </c>
      <c r="M175" t="str">
        <f>Orders!Q174</f>
        <v xml:space="preserve">EMI </v>
      </c>
    </row>
    <row r="176" spans="1:13" x14ac:dyDescent="0.35">
      <c r="A176" t="s">
        <v>380</v>
      </c>
      <c r="B176" t="s">
        <v>580</v>
      </c>
      <c r="C176" t="s">
        <v>1041</v>
      </c>
      <c r="D176" t="s">
        <v>1036</v>
      </c>
      <c r="E176">
        <f>Orders!E175</f>
        <v>5</v>
      </c>
      <c r="F176" s="6">
        <f>Orders!K175</f>
        <v>378000</v>
      </c>
      <c r="G176" s="7" t="s">
        <v>1118</v>
      </c>
      <c r="H176" t="s">
        <v>1091</v>
      </c>
      <c r="I176" t="s">
        <v>1109</v>
      </c>
      <c r="J176">
        <v>40</v>
      </c>
      <c r="K176" t="str">
        <f t="shared" si="2"/>
        <v>working adults</v>
      </c>
      <c r="L176" t="str">
        <f>Orders!R175</f>
        <v>Pending</v>
      </c>
      <c r="M176" t="str">
        <f>Orders!Q175</f>
        <v xml:space="preserve">EMI </v>
      </c>
    </row>
    <row r="177" spans="1:13" x14ac:dyDescent="0.35">
      <c r="A177" t="s">
        <v>381</v>
      </c>
      <c r="B177" t="s">
        <v>581</v>
      </c>
      <c r="C177" t="s">
        <v>1042</v>
      </c>
      <c r="D177" t="s">
        <v>1013</v>
      </c>
      <c r="E177">
        <f>Orders!E176</f>
        <v>4</v>
      </c>
      <c r="F177" s="6">
        <f>Orders!K176</f>
        <v>296400</v>
      </c>
      <c r="G177" s="7" t="s">
        <v>983</v>
      </c>
      <c r="H177" t="s">
        <v>1083</v>
      </c>
      <c r="I177" t="s">
        <v>1100</v>
      </c>
      <c r="J177">
        <v>43</v>
      </c>
      <c r="K177" t="str">
        <f t="shared" si="2"/>
        <v>working adults</v>
      </c>
      <c r="L177" t="str">
        <f>Orders!R176</f>
        <v>Pending</v>
      </c>
      <c r="M177" t="str">
        <f>Orders!Q176</f>
        <v xml:space="preserve">EMI </v>
      </c>
    </row>
    <row r="178" spans="1:13" x14ac:dyDescent="0.35">
      <c r="A178" t="s">
        <v>382</v>
      </c>
      <c r="B178" t="s">
        <v>582</v>
      </c>
      <c r="C178" t="s">
        <v>794</v>
      </c>
      <c r="D178" t="s">
        <v>1033</v>
      </c>
      <c r="E178">
        <f>Orders!E177</f>
        <v>3</v>
      </c>
      <c r="F178" s="6">
        <f>Orders!K177</f>
        <v>222720</v>
      </c>
      <c r="G178" s="7" t="s">
        <v>1095</v>
      </c>
      <c r="H178" t="s">
        <v>1066</v>
      </c>
      <c r="I178" t="s">
        <v>1066</v>
      </c>
      <c r="J178">
        <v>34</v>
      </c>
      <c r="K178" t="str">
        <f t="shared" si="2"/>
        <v>working adults</v>
      </c>
      <c r="L178" t="str">
        <f>Orders!R177</f>
        <v>Pending</v>
      </c>
      <c r="M178" t="str">
        <f>Orders!Q177</f>
        <v xml:space="preserve">EMI </v>
      </c>
    </row>
    <row r="179" spans="1:13" x14ac:dyDescent="0.35">
      <c r="A179" t="s">
        <v>383</v>
      </c>
      <c r="B179" t="s">
        <v>583</v>
      </c>
      <c r="C179" t="s">
        <v>794</v>
      </c>
      <c r="D179" t="s">
        <v>1033</v>
      </c>
      <c r="E179">
        <f>Orders!E178</f>
        <v>2</v>
      </c>
      <c r="F179" s="6">
        <f>Orders!K178</f>
        <v>149860</v>
      </c>
      <c r="G179" s="7" t="s">
        <v>984</v>
      </c>
      <c r="H179" t="s">
        <v>1066</v>
      </c>
      <c r="I179" t="s">
        <v>1066</v>
      </c>
      <c r="J179">
        <v>40</v>
      </c>
      <c r="K179" t="str">
        <f t="shared" si="2"/>
        <v>working adults</v>
      </c>
      <c r="L179" t="str">
        <f>Orders!R178</f>
        <v>Pending</v>
      </c>
      <c r="M179" t="str">
        <f>Orders!Q178</f>
        <v xml:space="preserve">EMI </v>
      </c>
    </row>
    <row r="180" spans="1:13" x14ac:dyDescent="0.35">
      <c r="A180" t="s">
        <v>384</v>
      </c>
      <c r="B180" t="s">
        <v>584</v>
      </c>
      <c r="C180" t="s">
        <v>745</v>
      </c>
      <c r="D180" t="s">
        <v>1013</v>
      </c>
      <c r="E180">
        <f>Orders!E179</f>
        <v>1</v>
      </c>
      <c r="F180" s="6">
        <f>Orders!K179</f>
        <v>75000</v>
      </c>
      <c r="G180" s="7" t="s">
        <v>985</v>
      </c>
      <c r="H180" t="s">
        <v>1114</v>
      </c>
      <c r="I180" t="s">
        <v>1104</v>
      </c>
      <c r="J180">
        <v>31</v>
      </c>
      <c r="K180" t="str">
        <f t="shared" si="2"/>
        <v>working adults</v>
      </c>
      <c r="L180" t="str">
        <f>Orders!R179</f>
        <v>Pending</v>
      </c>
      <c r="M180" t="str">
        <f>Orders!Q179</f>
        <v xml:space="preserve">EMI </v>
      </c>
    </row>
    <row r="181" spans="1:13" x14ac:dyDescent="0.35">
      <c r="A181" t="s">
        <v>385</v>
      </c>
      <c r="B181" t="s">
        <v>585</v>
      </c>
      <c r="C181" t="s">
        <v>804</v>
      </c>
      <c r="D181" t="s">
        <v>1018</v>
      </c>
      <c r="E181">
        <f>Orders!E180</f>
        <v>2</v>
      </c>
      <c r="F181" s="6">
        <f>Orders!K180</f>
        <v>146400</v>
      </c>
      <c r="G181" s="7" t="s">
        <v>986</v>
      </c>
      <c r="H181" t="s">
        <v>1096</v>
      </c>
      <c r="I181" t="s">
        <v>1100</v>
      </c>
      <c r="J181">
        <v>40</v>
      </c>
      <c r="K181" t="str">
        <f t="shared" si="2"/>
        <v>working adults</v>
      </c>
      <c r="L181" t="str">
        <f>Orders!R180</f>
        <v>Pending</v>
      </c>
      <c r="M181" t="str">
        <f>Orders!Q180</f>
        <v xml:space="preserve">EMI </v>
      </c>
    </row>
    <row r="182" spans="1:13" x14ac:dyDescent="0.35">
      <c r="A182" t="s">
        <v>386</v>
      </c>
      <c r="B182" t="s">
        <v>586</v>
      </c>
      <c r="C182" t="s">
        <v>764</v>
      </c>
      <c r="D182" t="s">
        <v>1036</v>
      </c>
      <c r="E182">
        <f>Orders!E181</f>
        <v>1</v>
      </c>
      <c r="F182" s="6">
        <f>Orders!K181</f>
        <v>74400</v>
      </c>
      <c r="G182" s="7" t="s">
        <v>987</v>
      </c>
      <c r="H182" t="s">
        <v>1097</v>
      </c>
      <c r="I182" t="s">
        <v>1109</v>
      </c>
      <c r="J182">
        <v>35</v>
      </c>
      <c r="K182" t="str">
        <f t="shared" si="2"/>
        <v>working adults</v>
      </c>
      <c r="L182" t="str">
        <f>Orders!R181</f>
        <v>Pending</v>
      </c>
      <c r="M182" t="str">
        <f>Orders!Q181</f>
        <v xml:space="preserve">EMI </v>
      </c>
    </row>
    <row r="183" spans="1:13" x14ac:dyDescent="0.35">
      <c r="A183" t="s">
        <v>387</v>
      </c>
      <c r="B183" t="s">
        <v>587</v>
      </c>
      <c r="C183" t="s">
        <v>805</v>
      </c>
      <c r="D183" t="s">
        <v>1018</v>
      </c>
      <c r="E183">
        <f>Orders!E182</f>
        <v>1</v>
      </c>
      <c r="F183" s="6">
        <f>Orders!K182</f>
        <v>81900</v>
      </c>
      <c r="G183" s="7" t="s">
        <v>988</v>
      </c>
      <c r="H183" t="s">
        <v>1066</v>
      </c>
      <c r="I183" t="s">
        <v>1066</v>
      </c>
      <c r="J183">
        <v>36</v>
      </c>
      <c r="K183" t="str">
        <f t="shared" si="2"/>
        <v>working adults</v>
      </c>
      <c r="L183" t="str">
        <f>Orders!R182</f>
        <v>Pending</v>
      </c>
      <c r="M183" t="str">
        <f>Orders!Q182</f>
        <v xml:space="preserve">EMI </v>
      </c>
    </row>
    <row r="184" spans="1:13" x14ac:dyDescent="0.35">
      <c r="A184" t="s">
        <v>388</v>
      </c>
      <c r="B184" t="s">
        <v>588</v>
      </c>
      <c r="C184" t="s">
        <v>806</v>
      </c>
      <c r="D184" t="s">
        <v>1018</v>
      </c>
      <c r="E184">
        <f>Orders!E183</f>
        <v>1</v>
      </c>
      <c r="F184" s="6">
        <f>Orders!K183</f>
        <v>83200</v>
      </c>
      <c r="G184" s="7" t="s">
        <v>989</v>
      </c>
      <c r="H184" t="s">
        <v>1087</v>
      </c>
      <c r="I184" t="s">
        <v>1102</v>
      </c>
      <c r="J184">
        <v>28</v>
      </c>
      <c r="K184" t="str">
        <f t="shared" si="2"/>
        <v>working adults</v>
      </c>
      <c r="L184" t="str">
        <f>Orders!R183</f>
        <v>Pending</v>
      </c>
      <c r="M184" t="str">
        <f>Orders!Q183</f>
        <v xml:space="preserve">EMI </v>
      </c>
    </row>
    <row r="185" spans="1:13" x14ac:dyDescent="0.35">
      <c r="A185" t="s">
        <v>389</v>
      </c>
      <c r="B185" t="s">
        <v>589</v>
      </c>
      <c r="C185" t="s">
        <v>807</v>
      </c>
      <c r="D185" t="s">
        <v>1018</v>
      </c>
      <c r="E185">
        <f>Orders!E184</f>
        <v>1</v>
      </c>
      <c r="F185" s="6">
        <f>Orders!K184</f>
        <v>81250</v>
      </c>
      <c r="G185" s="7" t="s">
        <v>990</v>
      </c>
      <c r="H185" t="s">
        <v>1088</v>
      </c>
      <c r="I185" t="s">
        <v>1099</v>
      </c>
      <c r="J185">
        <v>26</v>
      </c>
      <c r="K185" t="str">
        <f t="shared" si="2"/>
        <v>working adults</v>
      </c>
      <c r="L185" t="str">
        <f>Orders!R184</f>
        <v>Pending</v>
      </c>
      <c r="M185" t="str">
        <f>Orders!Q184</f>
        <v xml:space="preserve">EMI </v>
      </c>
    </row>
    <row r="186" spans="1:13" x14ac:dyDescent="0.35">
      <c r="A186" t="s">
        <v>390</v>
      </c>
      <c r="B186" t="s">
        <v>590</v>
      </c>
      <c r="C186" t="s">
        <v>808</v>
      </c>
      <c r="D186" t="s">
        <v>1018</v>
      </c>
      <c r="E186">
        <f>Orders!E185</f>
        <v>1</v>
      </c>
      <c r="F186" s="6">
        <f>Orders!K185</f>
        <v>75900</v>
      </c>
      <c r="G186" s="7" t="s">
        <v>991</v>
      </c>
      <c r="H186" t="s">
        <v>1084</v>
      </c>
      <c r="I186" t="s">
        <v>1099</v>
      </c>
      <c r="J186">
        <v>25</v>
      </c>
      <c r="K186" t="str">
        <f t="shared" si="2"/>
        <v>student</v>
      </c>
      <c r="L186" t="str">
        <f>Orders!R185</f>
        <v>Pending</v>
      </c>
      <c r="M186" t="str">
        <f>Orders!Q185</f>
        <v>Credit Card</v>
      </c>
    </row>
    <row r="187" spans="1:13" x14ac:dyDescent="0.35">
      <c r="A187" t="s">
        <v>391</v>
      </c>
      <c r="B187" t="s">
        <v>591</v>
      </c>
      <c r="C187" t="s">
        <v>809</v>
      </c>
      <c r="D187" t="s">
        <v>1018</v>
      </c>
      <c r="E187">
        <f>Orders!E186</f>
        <v>1</v>
      </c>
      <c r="F187" s="6">
        <f>Orders!K186</f>
        <v>87100</v>
      </c>
      <c r="G187" s="7" t="s">
        <v>992</v>
      </c>
      <c r="H187" t="s">
        <v>1086</v>
      </c>
      <c r="I187" t="s">
        <v>1099</v>
      </c>
      <c r="J187">
        <v>29</v>
      </c>
      <c r="K187" t="str">
        <f t="shared" si="2"/>
        <v>working adults</v>
      </c>
      <c r="L187" t="str">
        <f>Orders!R186</f>
        <v>Pending</v>
      </c>
      <c r="M187" t="str">
        <f>Orders!Q186</f>
        <v>Credit Card</v>
      </c>
    </row>
    <row r="188" spans="1:13" x14ac:dyDescent="0.35">
      <c r="A188" t="s">
        <v>392</v>
      </c>
      <c r="B188" t="s">
        <v>592</v>
      </c>
      <c r="C188" t="s">
        <v>810</v>
      </c>
      <c r="D188" t="s">
        <v>1018</v>
      </c>
      <c r="E188">
        <f>Orders!E187</f>
        <v>1</v>
      </c>
      <c r="F188" s="6">
        <f>Orders!K187</f>
        <v>88400</v>
      </c>
      <c r="G188" s="7" t="s">
        <v>993</v>
      </c>
      <c r="H188" t="s">
        <v>1093</v>
      </c>
      <c r="I188" t="s">
        <v>1099</v>
      </c>
      <c r="J188">
        <v>29</v>
      </c>
      <c r="K188" t="str">
        <f t="shared" si="2"/>
        <v>working adults</v>
      </c>
      <c r="L188" t="str">
        <f>Orders!R187</f>
        <v>Pending</v>
      </c>
      <c r="M188" t="str">
        <f>Orders!Q187</f>
        <v>Credit Card</v>
      </c>
    </row>
    <row r="189" spans="1:13" x14ac:dyDescent="0.35">
      <c r="A189" t="s">
        <v>393</v>
      </c>
      <c r="B189" t="s">
        <v>593</v>
      </c>
      <c r="C189" t="s">
        <v>811</v>
      </c>
      <c r="D189" t="s">
        <v>1018</v>
      </c>
      <c r="E189">
        <f>Orders!E188</f>
        <v>1</v>
      </c>
      <c r="F189" s="6">
        <f>Orders!K188</f>
        <v>93150</v>
      </c>
      <c r="G189" s="7" t="s">
        <v>994</v>
      </c>
      <c r="H189" t="s">
        <v>1051</v>
      </c>
      <c r="I189" t="s">
        <v>1103</v>
      </c>
      <c r="J189">
        <v>31</v>
      </c>
      <c r="K189" t="str">
        <f t="shared" si="2"/>
        <v>working adults</v>
      </c>
      <c r="L189" t="str">
        <f>Orders!R188</f>
        <v>Pending</v>
      </c>
      <c r="M189" t="str">
        <f>Orders!Q188</f>
        <v>Credit Card</v>
      </c>
    </row>
    <row r="190" spans="1:13" x14ac:dyDescent="0.35">
      <c r="A190" t="s">
        <v>394</v>
      </c>
      <c r="B190" t="s">
        <v>594</v>
      </c>
      <c r="C190" t="s">
        <v>679</v>
      </c>
      <c r="D190" t="s">
        <v>1024</v>
      </c>
      <c r="E190">
        <f>Orders!E189</f>
        <v>1</v>
      </c>
      <c r="F190" s="6">
        <f>Orders!K189</f>
        <v>91000</v>
      </c>
      <c r="G190" s="7" t="s">
        <v>995</v>
      </c>
      <c r="H190" t="s">
        <v>1090</v>
      </c>
      <c r="I190" t="s">
        <v>1109</v>
      </c>
      <c r="J190">
        <v>31</v>
      </c>
      <c r="K190" t="str">
        <f t="shared" si="2"/>
        <v>working adults</v>
      </c>
      <c r="L190" t="str">
        <f>Orders!R189</f>
        <v>Pending</v>
      </c>
      <c r="M190" t="str">
        <f>Orders!Q189</f>
        <v xml:space="preserve">EMI </v>
      </c>
    </row>
    <row r="191" spans="1:13" x14ac:dyDescent="0.35">
      <c r="A191" t="s">
        <v>395</v>
      </c>
      <c r="B191" t="s">
        <v>595</v>
      </c>
      <c r="C191" t="s">
        <v>812</v>
      </c>
      <c r="D191" t="s">
        <v>1023</v>
      </c>
      <c r="E191">
        <f>Orders!E190</f>
        <v>1</v>
      </c>
      <c r="F191" s="6">
        <f>Orders!K190</f>
        <v>95850</v>
      </c>
      <c r="G191" s="7" t="s">
        <v>996</v>
      </c>
      <c r="H191" t="s">
        <v>1089</v>
      </c>
      <c r="I191" t="s">
        <v>1109</v>
      </c>
      <c r="J191">
        <v>26</v>
      </c>
      <c r="K191" t="str">
        <f t="shared" si="2"/>
        <v>working adults</v>
      </c>
      <c r="L191" t="str">
        <f>Orders!R190</f>
        <v>Pending</v>
      </c>
      <c r="M191" t="str">
        <f>Orders!Q190</f>
        <v xml:space="preserve">EMI </v>
      </c>
    </row>
    <row r="192" spans="1:13" x14ac:dyDescent="0.35">
      <c r="A192" t="s">
        <v>396</v>
      </c>
      <c r="B192" t="s">
        <v>596</v>
      </c>
      <c r="C192" t="s">
        <v>813</v>
      </c>
      <c r="D192" t="s">
        <v>1013</v>
      </c>
      <c r="E192">
        <f>Orders!E191</f>
        <v>1</v>
      </c>
      <c r="F192" s="6">
        <f>Orders!K191</f>
        <v>92160</v>
      </c>
      <c r="G192" s="7" t="s">
        <v>997</v>
      </c>
      <c r="H192" t="s">
        <v>1062</v>
      </c>
      <c r="I192" t="s">
        <v>1109</v>
      </c>
      <c r="J192">
        <v>23</v>
      </c>
      <c r="K192" t="str">
        <f t="shared" si="2"/>
        <v>student</v>
      </c>
      <c r="L192" t="str">
        <f>Orders!R191</f>
        <v>Pending</v>
      </c>
      <c r="M192" t="str">
        <f>Orders!Q191</f>
        <v xml:space="preserve">EMI </v>
      </c>
    </row>
    <row r="193" spans="1:13" x14ac:dyDescent="0.35">
      <c r="A193" t="s">
        <v>397</v>
      </c>
      <c r="B193" t="s">
        <v>597</v>
      </c>
      <c r="C193" t="s">
        <v>763</v>
      </c>
      <c r="D193" t="s">
        <v>1013</v>
      </c>
      <c r="E193">
        <f>Orders!E192</f>
        <v>1</v>
      </c>
      <c r="F193" s="6">
        <f>Orders!K192</f>
        <v>91250</v>
      </c>
      <c r="G193" s="7" t="s">
        <v>998</v>
      </c>
      <c r="H193" t="s">
        <v>1091</v>
      </c>
      <c r="I193" t="s">
        <v>1109</v>
      </c>
      <c r="J193">
        <v>21</v>
      </c>
      <c r="K193" t="str">
        <f t="shared" si="2"/>
        <v>student</v>
      </c>
      <c r="L193" t="str">
        <f>Orders!R192</f>
        <v>Pending</v>
      </c>
      <c r="M193" t="str">
        <f>Orders!Q192</f>
        <v xml:space="preserve">EMI </v>
      </c>
    </row>
    <row r="194" spans="1:13" x14ac:dyDescent="0.35">
      <c r="A194" t="s">
        <v>398</v>
      </c>
      <c r="B194" t="s">
        <v>598</v>
      </c>
      <c r="C194" t="s">
        <v>748</v>
      </c>
      <c r="D194" t="s">
        <v>1013</v>
      </c>
      <c r="E194">
        <f>Orders!E193</f>
        <v>1</v>
      </c>
      <c r="F194" s="6">
        <f>Orders!K193</f>
        <v>94720</v>
      </c>
      <c r="G194" s="7" t="s">
        <v>999</v>
      </c>
      <c r="H194" t="s">
        <v>1061</v>
      </c>
      <c r="I194" t="s">
        <v>1099</v>
      </c>
      <c r="J194">
        <v>24</v>
      </c>
      <c r="K194" t="str">
        <f t="shared" si="2"/>
        <v>student</v>
      </c>
      <c r="L194" t="str">
        <f>Orders!R193</f>
        <v>Pending</v>
      </c>
      <c r="M194" t="str">
        <f>Orders!Q193</f>
        <v xml:space="preserve">EMI </v>
      </c>
    </row>
    <row r="195" spans="1:13" x14ac:dyDescent="0.35">
      <c r="A195" t="s">
        <v>399</v>
      </c>
      <c r="B195" t="s">
        <v>599</v>
      </c>
      <c r="C195" t="s">
        <v>747</v>
      </c>
      <c r="D195" t="s">
        <v>1013</v>
      </c>
      <c r="E195">
        <f>Orders!E194</f>
        <v>1</v>
      </c>
      <c r="F195" s="6">
        <f>Orders!K194</f>
        <v>93750</v>
      </c>
      <c r="G195" s="7" t="s">
        <v>1000</v>
      </c>
      <c r="H195" t="s">
        <v>1063</v>
      </c>
      <c r="I195" t="s">
        <v>1110</v>
      </c>
      <c r="J195">
        <v>25</v>
      </c>
      <c r="K195" t="str">
        <f t="shared" si="2"/>
        <v>student</v>
      </c>
      <c r="L195" t="str">
        <f>Orders!R194</f>
        <v>Pending</v>
      </c>
      <c r="M195" t="str">
        <f>Orders!Q194</f>
        <v xml:space="preserve">EMI </v>
      </c>
    </row>
    <row r="196" spans="1:13" x14ac:dyDescent="0.35">
      <c r="A196" t="s">
        <v>400</v>
      </c>
      <c r="B196" t="s">
        <v>600</v>
      </c>
      <c r="C196" t="s">
        <v>671</v>
      </c>
      <c r="D196" t="s">
        <v>1013</v>
      </c>
      <c r="E196">
        <f>Orders!E195</f>
        <v>1</v>
      </c>
      <c r="F196" s="6">
        <f>Orders!K195</f>
        <v>95000</v>
      </c>
      <c r="G196" s="7" t="s">
        <v>1001</v>
      </c>
      <c r="H196" t="s">
        <v>1098</v>
      </c>
      <c r="I196" t="s">
        <v>1105</v>
      </c>
      <c r="J196">
        <v>26</v>
      </c>
      <c r="K196" t="str">
        <f t="shared" si="2"/>
        <v>working adults</v>
      </c>
      <c r="L196" t="str">
        <f>Orders!R195</f>
        <v>Pending</v>
      </c>
      <c r="M196" t="str">
        <f>Orders!Q195</f>
        <v xml:space="preserve">EMI </v>
      </c>
    </row>
    <row r="197" spans="1:13" x14ac:dyDescent="0.35">
      <c r="A197" t="s">
        <v>401</v>
      </c>
      <c r="B197" t="s">
        <v>601</v>
      </c>
      <c r="C197" t="s">
        <v>746</v>
      </c>
      <c r="D197" t="s">
        <v>1013</v>
      </c>
      <c r="E197">
        <f>Orders!E196</f>
        <v>1</v>
      </c>
      <c r="F197" s="6">
        <f>Orders!K196</f>
        <v>95788</v>
      </c>
      <c r="G197" s="7" t="s">
        <v>1002</v>
      </c>
      <c r="H197" t="s">
        <v>1062</v>
      </c>
      <c r="I197" t="s">
        <v>1109</v>
      </c>
      <c r="J197">
        <v>27</v>
      </c>
      <c r="K197" t="str">
        <f t="shared" si="2"/>
        <v>working adults</v>
      </c>
      <c r="L197" t="str">
        <f>Orders!R196</f>
        <v>Pending</v>
      </c>
      <c r="M197" t="str">
        <f>Orders!Q196</f>
        <v xml:space="preserve">EMI </v>
      </c>
    </row>
    <row r="198" spans="1:13" x14ac:dyDescent="0.35">
      <c r="A198" t="s">
        <v>402</v>
      </c>
      <c r="B198" t="s">
        <v>602</v>
      </c>
      <c r="C198" t="s">
        <v>724</v>
      </c>
      <c r="D198" t="s">
        <v>1013</v>
      </c>
      <c r="E198">
        <f>Orders!E197</f>
        <v>1</v>
      </c>
      <c r="F198" s="6">
        <f>Orders!K197</f>
        <v>96564</v>
      </c>
      <c r="G198" s="7" t="s">
        <v>1003</v>
      </c>
      <c r="H198" t="s">
        <v>1070</v>
      </c>
      <c r="I198" t="s">
        <v>1099</v>
      </c>
      <c r="J198">
        <v>25</v>
      </c>
      <c r="K198" t="str">
        <f t="shared" ref="K198:K204" si="3">IF(J198&lt;=25,"student",IF(J198&lt;60,"working adults","Senior Citizen"))</f>
        <v>student</v>
      </c>
      <c r="L198" t="str">
        <f>Orders!R197</f>
        <v>Pending</v>
      </c>
      <c r="M198" t="str">
        <f>Orders!Q197</f>
        <v xml:space="preserve">EMI </v>
      </c>
    </row>
    <row r="199" spans="1:13" x14ac:dyDescent="0.35">
      <c r="A199" t="s">
        <v>403</v>
      </c>
      <c r="B199" t="s">
        <v>603</v>
      </c>
      <c r="C199" t="s">
        <v>723</v>
      </c>
      <c r="D199" t="s">
        <v>1013</v>
      </c>
      <c r="E199">
        <f>Orders!E198</f>
        <v>1</v>
      </c>
      <c r="F199" s="6">
        <f>Orders!K198</f>
        <v>97328</v>
      </c>
      <c r="G199" s="7" t="s">
        <v>1004</v>
      </c>
      <c r="H199" t="s">
        <v>1066</v>
      </c>
      <c r="I199" t="s">
        <v>1066</v>
      </c>
      <c r="J199">
        <v>29</v>
      </c>
      <c r="K199" t="str">
        <f t="shared" si="3"/>
        <v>working adults</v>
      </c>
      <c r="L199" t="str">
        <f>Orders!R198</f>
        <v>Pending</v>
      </c>
      <c r="M199" t="str">
        <f>Orders!Q198</f>
        <v xml:space="preserve">EMI </v>
      </c>
    </row>
    <row r="200" spans="1:13" x14ac:dyDescent="0.35">
      <c r="A200" t="s">
        <v>404</v>
      </c>
      <c r="B200" t="s">
        <v>604</v>
      </c>
      <c r="C200" t="s">
        <v>722</v>
      </c>
      <c r="D200" t="s">
        <v>1013</v>
      </c>
      <c r="E200">
        <f>Orders!E199</f>
        <v>1</v>
      </c>
      <c r="F200" s="6">
        <f>Orders!K199</f>
        <v>98080</v>
      </c>
      <c r="G200" s="7" t="s">
        <v>1005</v>
      </c>
      <c r="H200" t="s">
        <v>1070</v>
      </c>
      <c r="I200" t="s">
        <v>1099</v>
      </c>
      <c r="J200">
        <v>31</v>
      </c>
      <c r="K200" t="str">
        <f t="shared" si="3"/>
        <v>working adults</v>
      </c>
      <c r="L200" t="str">
        <f>Orders!R199</f>
        <v>Pending</v>
      </c>
      <c r="M200" t="str">
        <f>Orders!Q199</f>
        <v>Credit Card</v>
      </c>
    </row>
    <row r="201" spans="1:13" x14ac:dyDescent="0.35">
      <c r="A201" t="s">
        <v>405</v>
      </c>
      <c r="B201" t="s">
        <v>605</v>
      </c>
      <c r="C201" t="s">
        <v>721</v>
      </c>
      <c r="D201" t="s">
        <v>1013</v>
      </c>
      <c r="E201">
        <f>Orders!E200</f>
        <v>1</v>
      </c>
      <c r="F201" s="6">
        <f>Orders!K200</f>
        <v>98820</v>
      </c>
      <c r="G201" s="7" t="s">
        <v>1006</v>
      </c>
      <c r="H201" t="s">
        <v>1066</v>
      </c>
      <c r="I201" t="s">
        <v>1066</v>
      </c>
      <c r="J201">
        <v>32</v>
      </c>
      <c r="K201" t="str">
        <f t="shared" si="3"/>
        <v>working adults</v>
      </c>
      <c r="L201" t="str">
        <f>Orders!R200</f>
        <v>Pending</v>
      </c>
      <c r="M201" t="str">
        <f>Orders!Q200</f>
        <v xml:space="preserve">EMI </v>
      </c>
    </row>
    <row r="202" spans="1:13" x14ac:dyDescent="0.35">
      <c r="A202" t="s">
        <v>406</v>
      </c>
      <c r="B202" t="s">
        <v>606</v>
      </c>
      <c r="C202" t="s">
        <v>720</v>
      </c>
      <c r="D202" t="s">
        <v>1013</v>
      </c>
      <c r="E202">
        <f>Orders!E201</f>
        <v>1</v>
      </c>
      <c r="F202" s="6">
        <f>Orders!K201</f>
        <v>99548</v>
      </c>
      <c r="G202" s="7" t="s">
        <v>1007</v>
      </c>
      <c r="H202" t="s">
        <v>1062</v>
      </c>
      <c r="I202" t="s">
        <v>1109</v>
      </c>
      <c r="J202">
        <v>22</v>
      </c>
      <c r="K202" t="str">
        <f t="shared" si="3"/>
        <v>student</v>
      </c>
      <c r="L202" t="str">
        <f>Orders!R201</f>
        <v>Pending</v>
      </c>
      <c r="M202" t="str">
        <f>Orders!Q201</f>
        <v xml:space="preserve">EMI </v>
      </c>
    </row>
    <row r="203" spans="1:13" x14ac:dyDescent="0.35">
      <c r="A203" t="s">
        <v>407</v>
      </c>
      <c r="B203" t="s">
        <v>607</v>
      </c>
      <c r="C203" t="s">
        <v>719</v>
      </c>
      <c r="D203" t="s">
        <v>1013</v>
      </c>
      <c r="E203">
        <f>Orders!E202</f>
        <v>1</v>
      </c>
      <c r="F203" s="6">
        <f>Orders!K202</f>
        <v>100264</v>
      </c>
      <c r="G203" s="7" t="s">
        <v>1008</v>
      </c>
      <c r="H203" t="s">
        <v>1062</v>
      </c>
      <c r="I203" t="s">
        <v>1109</v>
      </c>
      <c r="J203">
        <v>24</v>
      </c>
      <c r="K203" t="str">
        <f t="shared" si="3"/>
        <v>student</v>
      </c>
      <c r="L203" t="str">
        <f>Orders!R202</f>
        <v>Pending</v>
      </c>
      <c r="M203" t="str">
        <f>Orders!Q202</f>
        <v xml:space="preserve">EMI </v>
      </c>
    </row>
    <row r="204" spans="1:13" x14ac:dyDescent="0.35">
      <c r="A204" t="s">
        <v>408</v>
      </c>
      <c r="B204" t="s">
        <v>608</v>
      </c>
      <c r="C204" t="s">
        <v>696</v>
      </c>
      <c r="D204" t="s">
        <v>1013</v>
      </c>
      <c r="E204">
        <f>Orders!E203</f>
        <v>1</v>
      </c>
      <c r="F204" s="6">
        <f>Orders!K203</f>
        <v>116760</v>
      </c>
      <c r="G204" s="7" t="s">
        <v>1009</v>
      </c>
      <c r="H204" t="s">
        <v>1083</v>
      </c>
      <c r="I204" t="s">
        <v>1100</v>
      </c>
      <c r="J204">
        <v>23</v>
      </c>
      <c r="K204" t="str">
        <f t="shared" si="3"/>
        <v>student</v>
      </c>
      <c r="L204" t="str">
        <f>Orders!R203</f>
        <v>Pending</v>
      </c>
      <c r="M204" t="str">
        <f>Orders!Q203</f>
        <v xml:space="preserve">EMI </v>
      </c>
    </row>
    <row r="206" spans="1:13" x14ac:dyDescent="0.35">
      <c r="E206">
        <f>SUM(E5:E204)</f>
        <v>1132</v>
      </c>
      <c r="G206">
        <f>COUNTA(G5:G204)</f>
        <v>200</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E42F6-642B-43B0-9412-DC517479ECD7}">
  <dimension ref="A3:C15"/>
  <sheetViews>
    <sheetView workbookViewId="0">
      <selection activeCell="D19" sqref="D19"/>
    </sheetView>
  </sheetViews>
  <sheetFormatPr defaultRowHeight="14.5" x14ac:dyDescent="0.35"/>
  <cols>
    <col min="1" max="1" width="21.1796875" bestFit="1" customWidth="1"/>
    <col min="2" max="2" width="15.81640625" bestFit="1" customWidth="1"/>
    <col min="3" max="3" width="16" bestFit="1" customWidth="1"/>
  </cols>
  <sheetData>
    <row r="3" spans="1:3" x14ac:dyDescent="0.35">
      <c r="A3" s="8" t="s">
        <v>1122</v>
      </c>
      <c r="B3" t="s">
        <v>1120</v>
      </c>
      <c r="C3" t="s">
        <v>1130</v>
      </c>
    </row>
    <row r="4" spans="1:3" x14ac:dyDescent="0.35">
      <c r="A4" s="9" t="s">
        <v>614</v>
      </c>
      <c r="B4" s="6">
        <v>102025</v>
      </c>
      <c r="C4">
        <v>8</v>
      </c>
    </row>
    <row r="5" spans="1:3" x14ac:dyDescent="0.35">
      <c r="A5" s="9" t="s">
        <v>612</v>
      </c>
      <c r="B5" s="6">
        <v>74539</v>
      </c>
      <c r="C5">
        <v>27</v>
      </c>
    </row>
    <row r="6" spans="1:3" x14ac:dyDescent="0.35">
      <c r="A6" s="9" t="s">
        <v>609</v>
      </c>
      <c r="B6" s="6">
        <v>1382351</v>
      </c>
      <c r="C6">
        <v>67</v>
      </c>
    </row>
    <row r="7" spans="1:3" x14ac:dyDescent="0.35">
      <c r="A7" s="9" t="s">
        <v>615</v>
      </c>
      <c r="B7" s="6">
        <v>3720244</v>
      </c>
      <c r="C7">
        <v>74</v>
      </c>
    </row>
    <row r="8" spans="1:3" x14ac:dyDescent="0.35">
      <c r="A8" s="9" t="s">
        <v>616</v>
      </c>
      <c r="B8" s="6">
        <v>169000</v>
      </c>
      <c r="C8">
        <v>7</v>
      </c>
    </row>
    <row r="9" spans="1:3" x14ac:dyDescent="0.35">
      <c r="A9" s="9" t="s">
        <v>611</v>
      </c>
      <c r="B9" s="6">
        <v>27073</v>
      </c>
      <c r="C9">
        <v>17</v>
      </c>
    </row>
    <row r="10" spans="1:3" x14ac:dyDescent="0.35">
      <c r="A10" s="9" t="s">
        <v>1121</v>
      </c>
      <c r="B10" s="6">
        <v>5475232</v>
      </c>
      <c r="C10">
        <v>200</v>
      </c>
    </row>
    <row r="14" spans="1:3" x14ac:dyDescent="0.35">
      <c r="A14" t="s">
        <v>1144</v>
      </c>
    </row>
    <row r="15" spans="1:3" x14ac:dyDescent="0.35">
      <c r="A15" s="6">
        <f>Table1[[#Totals],[Net Sales]]/Table1[[#Totals],[Quantity]]</f>
        <v>18845.643816254415</v>
      </c>
    </row>
  </sheetData>
  <pageMargins left="0.7" right="0.7" top="0.75" bottom="0.75" header="0.3" footer="0.3"/>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6B5EF-3652-4EE3-80A2-53A470E6AAA1}">
  <dimension ref="A3:B10"/>
  <sheetViews>
    <sheetView workbookViewId="0">
      <selection activeCell="B16" sqref="B16"/>
    </sheetView>
  </sheetViews>
  <sheetFormatPr defaultRowHeight="14.5" x14ac:dyDescent="0.35"/>
  <cols>
    <col min="1" max="1" width="21.1796875" bestFit="1" customWidth="1"/>
    <col min="2" max="2" width="14.08984375" bestFit="1" customWidth="1"/>
  </cols>
  <sheetData>
    <row r="3" spans="1:2" x14ac:dyDescent="0.35">
      <c r="A3" s="8" t="s">
        <v>1122</v>
      </c>
      <c r="B3" t="s">
        <v>1123</v>
      </c>
    </row>
    <row r="4" spans="1:2" x14ac:dyDescent="0.35">
      <c r="A4" s="9" t="s">
        <v>614</v>
      </c>
      <c r="B4">
        <v>8</v>
      </c>
    </row>
    <row r="5" spans="1:2" x14ac:dyDescent="0.35">
      <c r="A5" s="9" t="s">
        <v>612</v>
      </c>
      <c r="B5">
        <v>27</v>
      </c>
    </row>
    <row r="6" spans="1:2" x14ac:dyDescent="0.35">
      <c r="A6" s="9" t="s">
        <v>609</v>
      </c>
      <c r="B6">
        <v>67</v>
      </c>
    </row>
    <row r="7" spans="1:2" x14ac:dyDescent="0.35">
      <c r="A7" s="9" t="s">
        <v>615</v>
      </c>
      <c r="B7">
        <v>74</v>
      </c>
    </row>
    <row r="8" spans="1:2" x14ac:dyDescent="0.35">
      <c r="A8" s="9" t="s">
        <v>616</v>
      </c>
      <c r="B8">
        <v>7</v>
      </c>
    </row>
    <row r="9" spans="1:2" x14ac:dyDescent="0.35">
      <c r="A9" s="9" t="s">
        <v>611</v>
      </c>
      <c r="B9">
        <v>17</v>
      </c>
    </row>
    <row r="10" spans="1:2" x14ac:dyDescent="0.35">
      <c r="A10" s="9" t="s">
        <v>1121</v>
      </c>
      <c r="B10">
        <v>200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121A3-197F-452D-86DA-9B16C9532397}">
  <dimension ref="A3:B6"/>
  <sheetViews>
    <sheetView workbookViewId="0">
      <selection activeCell="A3" sqref="A3"/>
    </sheetView>
  </sheetViews>
  <sheetFormatPr defaultRowHeight="14.5" x14ac:dyDescent="0.35"/>
  <cols>
    <col min="1" max="1" width="12.36328125" bestFit="1" customWidth="1"/>
    <col min="2" max="2" width="16" bestFit="1" customWidth="1"/>
  </cols>
  <sheetData>
    <row r="3" spans="1:2" x14ac:dyDescent="0.35">
      <c r="A3" s="8" t="s">
        <v>1119</v>
      </c>
      <c r="B3" t="s">
        <v>1130</v>
      </c>
    </row>
    <row r="4" spans="1:2" x14ac:dyDescent="0.35">
      <c r="A4" s="9" t="s">
        <v>610</v>
      </c>
      <c r="B4">
        <v>61</v>
      </c>
    </row>
    <row r="5" spans="1:2" x14ac:dyDescent="0.35">
      <c r="A5" s="9" t="s">
        <v>613</v>
      </c>
      <c r="B5">
        <v>139</v>
      </c>
    </row>
    <row r="6" spans="1:2" x14ac:dyDescent="0.35">
      <c r="A6" s="9" t="s">
        <v>1121</v>
      </c>
      <c r="B6">
        <v>200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39508-BD55-4482-8746-E5E2A8B6F261}">
  <dimension ref="A3:F39"/>
  <sheetViews>
    <sheetView topLeftCell="A22" workbookViewId="0">
      <selection activeCell="F38" sqref="F38"/>
    </sheetView>
  </sheetViews>
  <sheetFormatPr defaultRowHeight="14.5" x14ac:dyDescent="0.35"/>
  <cols>
    <col min="1" max="1" width="22.26953125" bestFit="1" customWidth="1"/>
    <col min="2" max="3" width="14.90625" bestFit="1" customWidth="1"/>
    <col min="6" max="6" width="18.81640625" customWidth="1"/>
  </cols>
  <sheetData>
    <row r="3" spans="1:2" x14ac:dyDescent="0.35">
      <c r="A3" s="8" t="s">
        <v>1119</v>
      </c>
      <c r="B3" t="s">
        <v>1134</v>
      </c>
    </row>
    <row r="4" spans="1:2" x14ac:dyDescent="0.35">
      <c r="A4" s="9" t="s">
        <v>610</v>
      </c>
      <c r="B4" s="6">
        <v>4509185.0999999996</v>
      </c>
    </row>
    <row r="5" spans="1:2" x14ac:dyDescent="0.35">
      <c r="A5" s="10" t="s">
        <v>1018</v>
      </c>
      <c r="B5" s="6">
        <v>11340</v>
      </c>
    </row>
    <row r="6" spans="1:2" x14ac:dyDescent="0.35">
      <c r="A6" s="10" t="s">
        <v>1030</v>
      </c>
      <c r="B6" s="6">
        <v>85167.5</v>
      </c>
    </row>
    <row r="7" spans="1:2" x14ac:dyDescent="0.35">
      <c r="A7" s="10" t="s">
        <v>1014</v>
      </c>
      <c r="B7" s="6">
        <v>34778.1</v>
      </c>
    </row>
    <row r="8" spans="1:2" x14ac:dyDescent="0.35">
      <c r="A8" s="10" t="s">
        <v>1012</v>
      </c>
      <c r="B8" s="6">
        <v>4500</v>
      </c>
    </row>
    <row r="9" spans="1:2" x14ac:dyDescent="0.35">
      <c r="A9" s="10" t="s">
        <v>1011</v>
      </c>
      <c r="B9" s="6">
        <v>2250</v>
      </c>
    </row>
    <row r="10" spans="1:2" x14ac:dyDescent="0.35">
      <c r="A10" s="10" t="s">
        <v>1027</v>
      </c>
      <c r="B10" s="6">
        <v>48608</v>
      </c>
    </row>
    <row r="11" spans="1:2" x14ac:dyDescent="0.35">
      <c r="A11" s="10" t="s">
        <v>1013</v>
      </c>
      <c r="B11" s="6">
        <v>2261167.5</v>
      </c>
    </row>
    <row r="12" spans="1:2" x14ac:dyDescent="0.35">
      <c r="A12" s="10" t="s">
        <v>1032</v>
      </c>
      <c r="B12" s="6">
        <v>5110</v>
      </c>
    </row>
    <row r="13" spans="1:2" x14ac:dyDescent="0.35">
      <c r="A13" s="10" t="s">
        <v>1024</v>
      </c>
      <c r="B13" s="6">
        <v>51750</v>
      </c>
    </row>
    <row r="14" spans="1:2" x14ac:dyDescent="0.35">
      <c r="A14" s="10" t="s">
        <v>1022</v>
      </c>
      <c r="B14" s="6">
        <v>60074</v>
      </c>
    </row>
    <row r="15" spans="1:2" x14ac:dyDescent="0.35">
      <c r="A15" s="10" t="s">
        <v>1025</v>
      </c>
      <c r="B15" s="6">
        <v>6615</v>
      </c>
    </row>
    <row r="16" spans="1:2" x14ac:dyDescent="0.35">
      <c r="A16" s="10" t="s">
        <v>1033</v>
      </c>
      <c r="B16" s="6">
        <v>1340175</v>
      </c>
    </row>
    <row r="17" spans="1:2" x14ac:dyDescent="0.35">
      <c r="A17" s="10" t="s">
        <v>1017</v>
      </c>
      <c r="B17" s="6">
        <v>243170</v>
      </c>
    </row>
    <row r="18" spans="1:2" x14ac:dyDescent="0.35">
      <c r="A18" s="10" t="s">
        <v>1031</v>
      </c>
      <c r="B18" s="6">
        <v>4200</v>
      </c>
    </row>
    <row r="19" spans="1:2" x14ac:dyDescent="0.35">
      <c r="A19" s="10" t="s">
        <v>1035</v>
      </c>
      <c r="B19" s="6">
        <v>200000</v>
      </c>
    </row>
    <row r="20" spans="1:2" x14ac:dyDescent="0.35">
      <c r="A20" s="10" t="s">
        <v>1029</v>
      </c>
      <c r="B20" s="6">
        <v>48000</v>
      </c>
    </row>
    <row r="21" spans="1:2" x14ac:dyDescent="0.35">
      <c r="A21" s="10" t="s">
        <v>1023</v>
      </c>
      <c r="B21" s="6">
        <v>36400</v>
      </c>
    </row>
    <row r="22" spans="1:2" x14ac:dyDescent="0.35">
      <c r="A22" s="10" t="s">
        <v>1015</v>
      </c>
      <c r="B22" s="6">
        <v>65880</v>
      </c>
    </row>
    <row r="23" spans="1:2" x14ac:dyDescent="0.35">
      <c r="A23" s="9" t="s">
        <v>613</v>
      </c>
      <c r="B23" s="6">
        <v>16824083.699999999</v>
      </c>
    </row>
    <row r="24" spans="1:2" x14ac:dyDescent="0.35">
      <c r="A24" s="10" t="s">
        <v>1020</v>
      </c>
      <c r="B24" s="6">
        <v>27720</v>
      </c>
    </row>
    <row r="25" spans="1:2" x14ac:dyDescent="0.35">
      <c r="A25" s="10" t="s">
        <v>1018</v>
      </c>
      <c r="B25" s="6">
        <v>4745317</v>
      </c>
    </row>
    <row r="26" spans="1:2" x14ac:dyDescent="0.35">
      <c r="A26" s="10" t="s">
        <v>1021</v>
      </c>
      <c r="B26" s="6">
        <v>465400</v>
      </c>
    </row>
    <row r="27" spans="1:2" x14ac:dyDescent="0.35">
      <c r="A27" s="10" t="s">
        <v>1030</v>
      </c>
      <c r="B27" s="6">
        <v>104980</v>
      </c>
    </row>
    <row r="28" spans="1:2" x14ac:dyDescent="0.35">
      <c r="A28" s="10" t="s">
        <v>1014</v>
      </c>
      <c r="B28" s="6">
        <v>45565</v>
      </c>
    </row>
    <row r="29" spans="1:2" x14ac:dyDescent="0.35">
      <c r="A29" s="10" t="s">
        <v>1011</v>
      </c>
      <c r="B29" s="6">
        <v>34500</v>
      </c>
    </row>
    <row r="30" spans="1:2" x14ac:dyDescent="0.35">
      <c r="A30" s="10" t="s">
        <v>1016</v>
      </c>
      <c r="B30" s="6">
        <v>17310</v>
      </c>
    </row>
    <row r="31" spans="1:2" x14ac:dyDescent="0.35">
      <c r="A31" s="10" t="s">
        <v>1013</v>
      </c>
      <c r="B31" s="6">
        <v>7559641.7000000002</v>
      </c>
    </row>
    <row r="32" spans="1:2" x14ac:dyDescent="0.35">
      <c r="A32" s="10" t="s">
        <v>1034</v>
      </c>
      <c r="B32" s="6">
        <v>601625</v>
      </c>
    </row>
    <row r="33" spans="1:6" x14ac:dyDescent="0.35">
      <c r="A33" s="10" t="s">
        <v>1032</v>
      </c>
      <c r="B33" s="6">
        <v>94770</v>
      </c>
    </row>
    <row r="34" spans="1:6" x14ac:dyDescent="0.35">
      <c r="A34" s="10" t="s">
        <v>1024</v>
      </c>
      <c r="B34" s="6">
        <v>137800</v>
      </c>
    </row>
    <row r="35" spans="1:6" x14ac:dyDescent="0.35">
      <c r="A35" s="10" t="s">
        <v>1022</v>
      </c>
      <c r="B35" s="6">
        <v>102210</v>
      </c>
    </row>
    <row r="36" spans="1:6" x14ac:dyDescent="0.35">
      <c r="A36" s="10" t="s">
        <v>1033</v>
      </c>
      <c r="B36" s="6">
        <v>2213205</v>
      </c>
    </row>
    <row r="37" spans="1:6" x14ac:dyDescent="0.35">
      <c r="A37" s="10" t="s">
        <v>1017</v>
      </c>
      <c r="B37" s="6">
        <v>98140</v>
      </c>
    </row>
    <row r="38" spans="1:6" x14ac:dyDescent="0.35">
      <c r="A38" s="10" t="s">
        <v>1023</v>
      </c>
      <c r="B38" s="6">
        <v>575900</v>
      </c>
      <c r="F38">
        <f>GETPIVOTDATA("Net Sales",$A$3,"Order_status","Pending")/GETPIVOTDATA("Net Sales",$A$3)*100</f>
        <v>78.863130904720975</v>
      </c>
    </row>
    <row r="39" spans="1:6" x14ac:dyDescent="0.35">
      <c r="A39" s="9" t="s">
        <v>1121</v>
      </c>
      <c r="B39" s="6">
        <v>21333268.800000001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40E1F-2432-4C78-B11B-FF301DEE0D2C}">
  <dimension ref="A3:B11"/>
  <sheetViews>
    <sheetView workbookViewId="0">
      <selection activeCell="D14" sqref="D14:E16"/>
    </sheetView>
  </sheetViews>
  <sheetFormatPr defaultRowHeight="14.5" x14ac:dyDescent="0.35"/>
  <cols>
    <col min="1" max="1" width="13.36328125" bestFit="1" customWidth="1"/>
    <col min="2" max="2" width="13.90625" bestFit="1" customWidth="1"/>
  </cols>
  <sheetData>
    <row r="3" spans="1:2" x14ac:dyDescent="0.35">
      <c r="A3" s="8" t="s">
        <v>1119</v>
      </c>
      <c r="B3" t="s">
        <v>1135</v>
      </c>
    </row>
    <row r="4" spans="1:2" x14ac:dyDescent="0.35">
      <c r="A4" s="9" t="s">
        <v>613</v>
      </c>
      <c r="B4" s="6">
        <v>3382317.7</v>
      </c>
    </row>
    <row r="5" spans="1:2" x14ac:dyDescent="0.35">
      <c r="A5" s="10" t="s">
        <v>1136</v>
      </c>
      <c r="B5" s="6">
        <v>242104</v>
      </c>
    </row>
    <row r="6" spans="1:2" x14ac:dyDescent="0.35">
      <c r="A6" s="10" t="s">
        <v>1137</v>
      </c>
      <c r="B6" s="6">
        <v>758664.7</v>
      </c>
    </row>
    <row r="7" spans="1:2" x14ac:dyDescent="0.35">
      <c r="A7" s="10" t="s">
        <v>1138</v>
      </c>
      <c r="B7" s="6">
        <v>86865</v>
      </c>
    </row>
    <row r="8" spans="1:2" x14ac:dyDescent="0.35">
      <c r="A8" s="10" t="s">
        <v>1139</v>
      </c>
      <c r="B8" s="6">
        <v>3720</v>
      </c>
    </row>
    <row r="9" spans="1:2" x14ac:dyDescent="0.35">
      <c r="A9" s="10" t="s">
        <v>1140</v>
      </c>
      <c r="B9" s="6">
        <v>14976.8</v>
      </c>
    </row>
    <row r="10" spans="1:2" x14ac:dyDescent="0.35">
      <c r="A10" s="10" t="s">
        <v>1141</v>
      </c>
      <c r="B10" s="6">
        <v>2275987.2000000002</v>
      </c>
    </row>
    <row r="11" spans="1:2" x14ac:dyDescent="0.35">
      <c r="A11" s="9" t="s">
        <v>1121</v>
      </c>
      <c r="B11" s="6">
        <v>3382317.7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4D549-8E48-457B-9671-8DADF2D0C6D1}">
  <dimension ref="A3:B59"/>
  <sheetViews>
    <sheetView topLeftCell="A52" workbookViewId="0">
      <selection activeCell="A16" activeCellId="4" sqref="A5 A7:A8 A10 A12:A13 A15:A16 A18 A20:A21 A23 A25 A27:A28 A30 A32:A33 A35:A36 A38:A39 A41 A43:A44 A46:A47 A49 A51 A53 A55:A56 A58"/>
    </sheetView>
  </sheetViews>
  <sheetFormatPr defaultRowHeight="14.5" x14ac:dyDescent="0.35"/>
  <cols>
    <col min="1" max="1" width="20.36328125" bestFit="1" customWidth="1"/>
    <col min="2" max="2" width="13.90625" bestFit="1" customWidth="1"/>
  </cols>
  <sheetData>
    <row r="3" spans="1:2" x14ac:dyDescent="0.35">
      <c r="A3" s="8" t="s">
        <v>1119</v>
      </c>
      <c r="B3" t="s">
        <v>1135</v>
      </c>
    </row>
    <row r="4" spans="1:2" x14ac:dyDescent="0.35">
      <c r="A4" s="9" t="s">
        <v>1020</v>
      </c>
      <c r="B4" s="6">
        <v>4620</v>
      </c>
    </row>
    <row r="5" spans="1:2" x14ac:dyDescent="0.35">
      <c r="A5" s="10" t="s">
        <v>613</v>
      </c>
      <c r="B5" s="6">
        <v>4620</v>
      </c>
    </row>
    <row r="6" spans="1:2" x14ac:dyDescent="0.35">
      <c r="A6" s="9" t="s">
        <v>1018</v>
      </c>
      <c r="B6" s="6">
        <v>879467</v>
      </c>
    </row>
    <row r="7" spans="1:2" x14ac:dyDescent="0.35">
      <c r="A7" s="10" t="s">
        <v>610</v>
      </c>
      <c r="B7" s="6">
        <v>3240</v>
      </c>
    </row>
    <row r="8" spans="1:2" x14ac:dyDescent="0.35">
      <c r="A8" s="10" t="s">
        <v>613</v>
      </c>
      <c r="B8" s="6">
        <v>876227</v>
      </c>
    </row>
    <row r="9" spans="1:2" x14ac:dyDescent="0.35">
      <c r="A9" s="9" t="s">
        <v>1021</v>
      </c>
      <c r="B9" s="6">
        <v>113400</v>
      </c>
    </row>
    <row r="10" spans="1:2" x14ac:dyDescent="0.35">
      <c r="A10" s="10" t="s">
        <v>613</v>
      </c>
      <c r="B10" s="6">
        <v>113400</v>
      </c>
    </row>
    <row r="11" spans="1:2" x14ac:dyDescent="0.35">
      <c r="A11" s="9" t="s">
        <v>1030</v>
      </c>
      <c r="B11" s="6">
        <v>35597.5</v>
      </c>
    </row>
    <row r="12" spans="1:2" x14ac:dyDescent="0.35">
      <c r="A12" s="10" t="s">
        <v>610</v>
      </c>
      <c r="B12" s="6">
        <v>15417.5</v>
      </c>
    </row>
    <row r="13" spans="1:2" x14ac:dyDescent="0.35">
      <c r="A13" s="10" t="s">
        <v>613</v>
      </c>
      <c r="B13" s="6">
        <v>20180</v>
      </c>
    </row>
    <row r="14" spans="1:2" x14ac:dyDescent="0.35">
      <c r="A14" s="9" t="s">
        <v>1014</v>
      </c>
      <c r="B14" s="6">
        <v>21909.1</v>
      </c>
    </row>
    <row r="15" spans="1:2" x14ac:dyDescent="0.35">
      <c r="A15" s="10" t="s">
        <v>610</v>
      </c>
      <c r="B15" s="6">
        <v>9194.0999999999985</v>
      </c>
    </row>
    <row r="16" spans="1:2" x14ac:dyDescent="0.35">
      <c r="A16" s="10" t="s">
        <v>613</v>
      </c>
      <c r="B16" s="6">
        <v>12715</v>
      </c>
    </row>
    <row r="17" spans="1:2" x14ac:dyDescent="0.35">
      <c r="A17" s="9" t="s">
        <v>1012</v>
      </c>
      <c r="B17" s="6">
        <v>900</v>
      </c>
    </row>
    <row r="18" spans="1:2" x14ac:dyDescent="0.35">
      <c r="A18" s="10" t="s">
        <v>610</v>
      </c>
      <c r="B18" s="6">
        <v>900</v>
      </c>
    </row>
    <row r="19" spans="1:2" x14ac:dyDescent="0.35">
      <c r="A19" s="9" t="s">
        <v>1011</v>
      </c>
      <c r="B19" s="6">
        <v>4950</v>
      </c>
    </row>
    <row r="20" spans="1:2" x14ac:dyDescent="0.35">
      <c r="A20" s="10" t="s">
        <v>610</v>
      </c>
      <c r="B20" s="6">
        <v>450</v>
      </c>
    </row>
    <row r="21" spans="1:2" x14ac:dyDescent="0.35">
      <c r="A21" s="10" t="s">
        <v>613</v>
      </c>
      <c r="B21" s="6">
        <v>4500</v>
      </c>
    </row>
    <row r="22" spans="1:2" x14ac:dyDescent="0.35">
      <c r="A22" s="9" t="s">
        <v>1027</v>
      </c>
      <c r="B22" s="6">
        <v>9408</v>
      </c>
    </row>
    <row r="23" spans="1:2" x14ac:dyDescent="0.35">
      <c r="A23" s="10" t="s">
        <v>610</v>
      </c>
      <c r="B23" s="6">
        <v>9408</v>
      </c>
    </row>
    <row r="24" spans="1:2" x14ac:dyDescent="0.35">
      <c r="A24" s="9" t="s">
        <v>1016</v>
      </c>
      <c r="B24" s="6">
        <v>3160</v>
      </c>
    </row>
    <row r="25" spans="1:2" x14ac:dyDescent="0.35">
      <c r="A25" s="10" t="s">
        <v>613</v>
      </c>
      <c r="B25" s="6">
        <v>3160</v>
      </c>
    </row>
    <row r="26" spans="1:2" x14ac:dyDescent="0.35">
      <c r="A26" s="9" t="s">
        <v>1013</v>
      </c>
      <c r="B26" s="6">
        <v>1926843.2</v>
      </c>
    </row>
    <row r="27" spans="1:2" x14ac:dyDescent="0.35">
      <c r="A27" s="10" t="s">
        <v>610</v>
      </c>
      <c r="B27" s="6">
        <v>421677.5</v>
      </c>
    </row>
    <row r="28" spans="1:2" x14ac:dyDescent="0.35">
      <c r="A28" s="10" t="s">
        <v>613</v>
      </c>
      <c r="B28" s="6">
        <v>1505165.7</v>
      </c>
    </row>
    <row r="29" spans="1:2" x14ac:dyDescent="0.35">
      <c r="A29" s="9" t="s">
        <v>1034</v>
      </c>
      <c r="B29" s="6">
        <v>142925</v>
      </c>
    </row>
    <row r="30" spans="1:2" x14ac:dyDescent="0.35">
      <c r="A30" s="10" t="s">
        <v>613</v>
      </c>
      <c r="B30" s="6">
        <v>142925</v>
      </c>
    </row>
    <row r="31" spans="1:2" x14ac:dyDescent="0.35">
      <c r="A31" s="9" t="s">
        <v>1032</v>
      </c>
      <c r="B31" s="6">
        <v>23330</v>
      </c>
    </row>
    <row r="32" spans="1:2" x14ac:dyDescent="0.35">
      <c r="A32" s="10" t="s">
        <v>610</v>
      </c>
      <c r="B32" s="6">
        <v>1460</v>
      </c>
    </row>
    <row r="33" spans="1:2" x14ac:dyDescent="0.35">
      <c r="A33" s="10" t="s">
        <v>613</v>
      </c>
      <c r="B33" s="6">
        <v>21870</v>
      </c>
    </row>
    <row r="34" spans="1:2" x14ac:dyDescent="0.35">
      <c r="A34" s="9" t="s">
        <v>1024</v>
      </c>
      <c r="B34" s="6">
        <v>38550</v>
      </c>
    </row>
    <row r="35" spans="1:2" x14ac:dyDescent="0.35">
      <c r="A35" s="10" t="s">
        <v>610</v>
      </c>
      <c r="B35" s="6">
        <v>6750</v>
      </c>
    </row>
    <row r="36" spans="1:2" x14ac:dyDescent="0.35">
      <c r="A36" s="10" t="s">
        <v>613</v>
      </c>
      <c r="B36" s="6">
        <v>31800</v>
      </c>
    </row>
    <row r="37" spans="1:2" x14ac:dyDescent="0.35">
      <c r="A37" s="9" t="s">
        <v>1022</v>
      </c>
      <c r="B37" s="6">
        <v>40384</v>
      </c>
    </row>
    <row r="38" spans="1:2" x14ac:dyDescent="0.35">
      <c r="A38" s="10" t="s">
        <v>610</v>
      </c>
      <c r="B38" s="6">
        <v>14374</v>
      </c>
    </row>
    <row r="39" spans="1:2" x14ac:dyDescent="0.35">
      <c r="A39" s="10" t="s">
        <v>613</v>
      </c>
      <c r="B39" s="6">
        <v>26010</v>
      </c>
    </row>
    <row r="40" spans="1:2" x14ac:dyDescent="0.35">
      <c r="A40" s="9" t="s">
        <v>1025</v>
      </c>
      <c r="B40" s="6">
        <v>1715</v>
      </c>
    </row>
    <row r="41" spans="1:2" x14ac:dyDescent="0.35">
      <c r="A41" s="10" t="s">
        <v>610</v>
      </c>
      <c r="B41" s="6">
        <v>1715</v>
      </c>
    </row>
    <row r="42" spans="1:2" x14ac:dyDescent="0.35">
      <c r="A42" s="9" t="s">
        <v>1033</v>
      </c>
      <c r="B42" s="6">
        <v>659630</v>
      </c>
    </row>
    <row r="43" spans="1:2" x14ac:dyDescent="0.35">
      <c r="A43" s="10" t="s">
        <v>610</v>
      </c>
      <c r="B43" s="6">
        <v>211425</v>
      </c>
    </row>
    <row r="44" spans="1:2" x14ac:dyDescent="0.35">
      <c r="A44" s="10" t="s">
        <v>613</v>
      </c>
      <c r="B44" s="6">
        <v>448205</v>
      </c>
    </row>
    <row r="45" spans="1:2" x14ac:dyDescent="0.35">
      <c r="A45" s="9" t="s">
        <v>1017</v>
      </c>
      <c r="B45" s="6">
        <v>60710</v>
      </c>
    </row>
    <row r="46" spans="1:2" x14ac:dyDescent="0.35">
      <c r="A46" s="10" t="s">
        <v>610</v>
      </c>
      <c r="B46" s="6">
        <v>39070</v>
      </c>
    </row>
    <row r="47" spans="1:2" x14ac:dyDescent="0.35">
      <c r="A47" s="10" t="s">
        <v>613</v>
      </c>
      <c r="B47" s="6">
        <v>21640</v>
      </c>
    </row>
    <row r="48" spans="1:2" x14ac:dyDescent="0.35">
      <c r="A48" s="9" t="s">
        <v>1031</v>
      </c>
      <c r="B48" s="6">
        <v>1200</v>
      </c>
    </row>
    <row r="49" spans="1:2" x14ac:dyDescent="0.35">
      <c r="A49" s="10" t="s">
        <v>610</v>
      </c>
      <c r="B49" s="6">
        <v>1200</v>
      </c>
    </row>
    <row r="50" spans="1:2" x14ac:dyDescent="0.35">
      <c r="A50" s="9" t="s">
        <v>1035</v>
      </c>
      <c r="B50" s="6">
        <v>40000</v>
      </c>
    </row>
    <row r="51" spans="1:2" x14ac:dyDescent="0.35">
      <c r="A51" s="10" t="s">
        <v>610</v>
      </c>
      <c r="B51" s="6">
        <v>40000</v>
      </c>
    </row>
    <row r="52" spans="1:2" x14ac:dyDescent="0.35">
      <c r="A52" s="9" t="s">
        <v>1029</v>
      </c>
      <c r="B52" s="6">
        <v>10500</v>
      </c>
    </row>
    <row r="53" spans="1:2" x14ac:dyDescent="0.35">
      <c r="A53" s="10" t="s">
        <v>610</v>
      </c>
      <c r="B53" s="6">
        <v>10500</v>
      </c>
    </row>
    <row r="54" spans="1:2" x14ac:dyDescent="0.35">
      <c r="A54" s="9" t="s">
        <v>1023</v>
      </c>
      <c r="B54" s="6">
        <v>160300</v>
      </c>
    </row>
    <row r="55" spans="1:2" x14ac:dyDescent="0.35">
      <c r="A55" s="10" t="s">
        <v>610</v>
      </c>
      <c r="B55" s="6">
        <v>10400</v>
      </c>
    </row>
    <row r="56" spans="1:2" x14ac:dyDescent="0.35">
      <c r="A56" s="10" t="s">
        <v>613</v>
      </c>
      <c r="B56" s="6">
        <v>149900</v>
      </c>
    </row>
    <row r="57" spans="1:2" x14ac:dyDescent="0.35">
      <c r="A57" s="9" t="s">
        <v>1015</v>
      </c>
      <c r="B57" s="6">
        <v>11430</v>
      </c>
    </row>
    <row r="58" spans="1:2" x14ac:dyDescent="0.35">
      <c r="A58" s="10" t="s">
        <v>610</v>
      </c>
      <c r="B58" s="6">
        <v>11430</v>
      </c>
    </row>
    <row r="59" spans="1:2" x14ac:dyDescent="0.35">
      <c r="A59" s="9" t="s">
        <v>1121</v>
      </c>
      <c r="B59" s="6">
        <v>4190928.8</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3A5A5-326E-4752-AC90-08A28CB1FFB3}">
  <dimension ref="A3:B39"/>
  <sheetViews>
    <sheetView workbookViewId="0">
      <selection activeCell="A3" sqref="A3:B41"/>
    </sheetView>
  </sheetViews>
  <sheetFormatPr defaultRowHeight="14.5" x14ac:dyDescent="0.35"/>
  <cols>
    <col min="1" max="1" width="22.26953125" bestFit="1" customWidth="1"/>
    <col min="2" max="2" width="14.90625" bestFit="1" customWidth="1"/>
  </cols>
  <sheetData>
    <row r="3" spans="1:2" x14ac:dyDescent="0.35">
      <c r="A3" s="8" t="s">
        <v>1119</v>
      </c>
      <c r="B3" t="s">
        <v>1134</v>
      </c>
    </row>
    <row r="4" spans="1:2" x14ac:dyDescent="0.35">
      <c r="A4" s="9" t="s">
        <v>610</v>
      </c>
      <c r="B4" s="6">
        <v>4509185.0999999996</v>
      </c>
    </row>
    <row r="5" spans="1:2" x14ac:dyDescent="0.35">
      <c r="A5" s="10" t="s">
        <v>1018</v>
      </c>
      <c r="B5" s="6">
        <v>11340</v>
      </c>
    </row>
    <row r="6" spans="1:2" x14ac:dyDescent="0.35">
      <c r="A6" s="10" t="s">
        <v>1030</v>
      </c>
      <c r="B6" s="6">
        <v>85167.5</v>
      </c>
    </row>
    <row r="7" spans="1:2" x14ac:dyDescent="0.35">
      <c r="A7" s="10" t="s">
        <v>1014</v>
      </c>
      <c r="B7" s="6">
        <v>34778.1</v>
      </c>
    </row>
    <row r="8" spans="1:2" x14ac:dyDescent="0.35">
      <c r="A8" s="10" t="s">
        <v>1012</v>
      </c>
      <c r="B8" s="6">
        <v>4500</v>
      </c>
    </row>
    <row r="9" spans="1:2" x14ac:dyDescent="0.35">
      <c r="A9" s="10" t="s">
        <v>1011</v>
      </c>
      <c r="B9" s="6">
        <v>2250</v>
      </c>
    </row>
    <row r="10" spans="1:2" x14ac:dyDescent="0.35">
      <c r="A10" s="10" t="s">
        <v>1027</v>
      </c>
      <c r="B10" s="6">
        <v>48608</v>
      </c>
    </row>
    <row r="11" spans="1:2" x14ac:dyDescent="0.35">
      <c r="A11" s="10" t="s">
        <v>1013</v>
      </c>
      <c r="B11" s="6">
        <v>2261167.5</v>
      </c>
    </row>
    <row r="12" spans="1:2" x14ac:dyDescent="0.35">
      <c r="A12" s="10" t="s">
        <v>1032</v>
      </c>
      <c r="B12" s="6">
        <v>5110</v>
      </c>
    </row>
    <row r="13" spans="1:2" x14ac:dyDescent="0.35">
      <c r="A13" s="10" t="s">
        <v>1024</v>
      </c>
      <c r="B13" s="6">
        <v>51750</v>
      </c>
    </row>
    <row r="14" spans="1:2" x14ac:dyDescent="0.35">
      <c r="A14" s="10" t="s">
        <v>1022</v>
      </c>
      <c r="B14" s="6">
        <v>60074</v>
      </c>
    </row>
    <row r="15" spans="1:2" x14ac:dyDescent="0.35">
      <c r="A15" s="10" t="s">
        <v>1025</v>
      </c>
      <c r="B15" s="6">
        <v>6615</v>
      </c>
    </row>
    <row r="16" spans="1:2" x14ac:dyDescent="0.35">
      <c r="A16" s="10" t="s">
        <v>1033</v>
      </c>
      <c r="B16" s="6">
        <v>1340175</v>
      </c>
    </row>
    <row r="17" spans="1:2" x14ac:dyDescent="0.35">
      <c r="A17" s="10" t="s">
        <v>1017</v>
      </c>
      <c r="B17" s="6">
        <v>243170</v>
      </c>
    </row>
    <row r="18" spans="1:2" x14ac:dyDescent="0.35">
      <c r="A18" s="10" t="s">
        <v>1031</v>
      </c>
      <c r="B18" s="6">
        <v>4200</v>
      </c>
    </row>
    <row r="19" spans="1:2" x14ac:dyDescent="0.35">
      <c r="A19" s="10" t="s">
        <v>1035</v>
      </c>
      <c r="B19" s="6">
        <v>200000</v>
      </c>
    </row>
    <row r="20" spans="1:2" x14ac:dyDescent="0.35">
      <c r="A20" s="10" t="s">
        <v>1029</v>
      </c>
      <c r="B20" s="6">
        <v>48000</v>
      </c>
    </row>
    <row r="21" spans="1:2" x14ac:dyDescent="0.35">
      <c r="A21" s="10" t="s">
        <v>1023</v>
      </c>
      <c r="B21" s="6">
        <v>36400</v>
      </c>
    </row>
    <row r="22" spans="1:2" x14ac:dyDescent="0.35">
      <c r="A22" s="10" t="s">
        <v>1015</v>
      </c>
      <c r="B22" s="6">
        <v>65880</v>
      </c>
    </row>
    <row r="23" spans="1:2" x14ac:dyDescent="0.35">
      <c r="A23" s="9" t="s">
        <v>613</v>
      </c>
      <c r="B23" s="6">
        <v>16824083.699999999</v>
      </c>
    </row>
    <row r="24" spans="1:2" x14ac:dyDescent="0.35">
      <c r="A24" s="10" t="s">
        <v>1020</v>
      </c>
      <c r="B24" s="6">
        <v>27720</v>
      </c>
    </row>
    <row r="25" spans="1:2" x14ac:dyDescent="0.35">
      <c r="A25" s="10" t="s">
        <v>1018</v>
      </c>
      <c r="B25" s="6">
        <v>4745317</v>
      </c>
    </row>
    <row r="26" spans="1:2" x14ac:dyDescent="0.35">
      <c r="A26" s="10" t="s">
        <v>1021</v>
      </c>
      <c r="B26" s="6">
        <v>465400</v>
      </c>
    </row>
    <row r="27" spans="1:2" x14ac:dyDescent="0.35">
      <c r="A27" s="10" t="s">
        <v>1030</v>
      </c>
      <c r="B27" s="6">
        <v>104980</v>
      </c>
    </row>
    <row r="28" spans="1:2" x14ac:dyDescent="0.35">
      <c r="A28" s="10" t="s">
        <v>1014</v>
      </c>
      <c r="B28" s="6">
        <v>45565</v>
      </c>
    </row>
    <row r="29" spans="1:2" x14ac:dyDescent="0.35">
      <c r="A29" s="10" t="s">
        <v>1011</v>
      </c>
      <c r="B29" s="6">
        <v>34500</v>
      </c>
    </row>
    <row r="30" spans="1:2" x14ac:dyDescent="0.35">
      <c r="A30" s="10" t="s">
        <v>1016</v>
      </c>
      <c r="B30" s="6">
        <v>17310</v>
      </c>
    </row>
    <row r="31" spans="1:2" x14ac:dyDescent="0.35">
      <c r="A31" s="10" t="s">
        <v>1013</v>
      </c>
      <c r="B31" s="6">
        <v>7559641.7000000002</v>
      </c>
    </row>
    <row r="32" spans="1:2" x14ac:dyDescent="0.35">
      <c r="A32" s="10" t="s">
        <v>1034</v>
      </c>
      <c r="B32" s="6">
        <v>601625</v>
      </c>
    </row>
    <row r="33" spans="1:2" x14ac:dyDescent="0.35">
      <c r="A33" s="10" t="s">
        <v>1032</v>
      </c>
      <c r="B33" s="6">
        <v>94770</v>
      </c>
    </row>
    <row r="34" spans="1:2" x14ac:dyDescent="0.35">
      <c r="A34" s="10" t="s">
        <v>1024</v>
      </c>
      <c r="B34" s="6">
        <v>137800</v>
      </c>
    </row>
    <row r="35" spans="1:2" x14ac:dyDescent="0.35">
      <c r="A35" s="10" t="s">
        <v>1022</v>
      </c>
      <c r="B35" s="6">
        <v>102210</v>
      </c>
    </row>
    <row r="36" spans="1:2" x14ac:dyDescent="0.35">
      <c r="A36" s="10" t="s">
        <v>1033</v>
      </c>
      <c r="B36" s="6">
        <v>2213205</v>
      </c>
    </row>
    <row r="37" spans="1:2" x14ac:dyDescent="0.35">
      <c r="A37" s="10" t="s">
        <v>1017</v>
      </c>
      <c r="B37" s="6">
        <v>98140</v>
      </c>
    </row>
    <row r="38" spans="1:2" x14ac:dyDescent="0.35">
      <c r="A38" s="10" t="s">
        <v>1023</v>
      </c>
      <c r="B38" s="6">
        <v>575900</v>
      </c>
    </row>
    <row r="39" spans="1:2" x14ac:dyDescent="0.35">
      <c r="A39" s="9" t="s">
        <v>1121</v>
      </c>
      <c r="B39" s="6">
        <v>21333268.800000001</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C1EB2B-B768-411E-8EA7-FFE2EBA277E3}">
  <dimension ref="A3:B7"/>
  <sheetViews>
    <sheetView workbookViewId="0">
      <selection activeCell="B3" sqref="B3"/>
    </sheetView>
  </sheetViews>
  <sheetFormatPr defaultRowHeight="14.5" x14ac:dyDescent="0.35"/>
  <cols>
    <col min="1" max="1" width="13.08984375" bestFit="1" customWidth="1"/>
    <col min="2" max="2" width="18.6328125" bestFit="1" customWidth="1"/>
  </cols>
  <sheetData>
    <row r="3" spans="1:2" x14ac:dyDescent="0.35">
      <c r="A3" s="8" t="s">
        <v>1119</v>
      </c>
      <c r="B3" t="s">
        <v>1125</v>
      </c>
    </row>
    <row r="4" spans="1:2" x14ac:dyDescent="0.35">
      <c r="A4" s="9" t="s">
        <v>1126</v>
      </c>
      <c r="B4" s="6">
        <v>581820</v>
      </c>
    </row>
    <row r="5" spans="1:2" x14ac:dyDescent="0.35">
      <c r="A5" s="9" t="s">
        <v>1127</v>
      </c>
      <c r="B5" s="6">
        <v>2983911.8</v>
      </c>
    </row>
    <row r="6" spans="1:2" x14ac:dyDescent="0.35">
      <c r="A6" s="9" t="s">
        <v>1128</v>
      </c>
      <c r="B6" s="6">
        <v>17767537</v>
      </c>
    </row>
    <row r="7" spans="1:2" x14ac:dyDescent="0.35">
      <c r="A7" s="9" t="s">
        <v>1121</v>
      </c>
      <c r="B7" s="6">
        <v>21333268.800000001</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D897C-FB09-435F-BCDC-D2C25CB6F972}">
  <dimension ref="A3:B22"/>
  <sheetViews>
    <sheetView workbookViewId="0">
      <selection activeCell="A3" sqref="A3:B23"/>
    </sheetView>
  </sheetViews>
  <sheetFormatPr defaultRowHeight="14.5" x14ac:dyDescent="0.35"/>
  <cols>
    <col min="1" max="1" width="15.90625" bestFit="1" customWidth="1"/>
    <col min="2" max="2" width="19.1796875" bestFit="1" customWidth="1"/>
  </cols>
  <sheetData>
    <row r="3" spans="1:2" x14ac:dyDescent="0.35">
      <c r="A3" s="8" t="s">
        <v>1119</v>
      </c>
      <c r="B3" t="s">
        <v>1129</v>
      </c>
    </row>
    <row r="4" spans="1:2" x14ac:dyDescent="0.35">
      <c r="A4" s="9" t="s">
        <v>1102</v>
      </c>
      <c r="B4">
        <v>7</v>
      </c>
    </row>
    <row r="5" spans="1:2" x14ac:dyDescent="0.35">
      <c r="A5" s="9" t="s">
        <v>1112</v>
      </c>
      <c r="B5">
        <v>1</v>
      </c>
    </row>
    <row r="6" spans="1:2" x14ac:dyDescent="0.35">
      <c r="A6" s="9" t="s">
        <v>1066</v>
      </c>
      <c r="B6">
        <v>31</v>
      </c>
    </row>
    <row r="7" spans="1:2" x14ac:dyDescent="0.35">
      <c r="A7" s="9" t="s">
        <v>1100</v>
      </c>
      <c r="B7">
        <v>7</v>
      </c>
    </row>
    <row r="8" spans="1:2" x14ac:dyDescent="0.35">
      <c r="A8" s="9" t="s">
        <v>1109</v>
      </c>
      <c r="B8">
        <v>71</v>
      </c>
    </row>
    <row r="9" spans="1:2" x14ac:dyDescent="0.35">
      <c r="A9" s="9" t="s">
        <v>1108</v>
      </c>
      <c r="B9">
        <v>1</v>
      </c>
    </row>
    <row r="10" spans="1:2" x14ac:dyDescent="0.35">
      <c r="A10" s="9" t="s">
        <v>1113</v>
      </c>
      <c r="B10">
        <v>3</v>
      </c>
    </row>
    <row r="11" spans="1:2" x14ac:dyDescent="0.35">
      <c r="A11" s="9" t="s">
        <v>1105</v>
      </c>
      <c r="B11">
        <v>5</v>
      </c>
    </row>
    <row r="12" spans="1:2" x14ac:dyDescent="0.35">
      <c r="A12" s="9" t="s">
        <v>1111</v>
      </c>
      <c r="B12">
        <v>2</v>
      </c>
    </row>
    <row r="13" spans="1:2" x14ac:dyDescent="0.35">
      <c r="A13" s="9" t="s">
        <v>1104</v>
      </c>
      <c r="B13">
        <v>12</v>
      </c>
    </row>
    <row r="14" spans="1:2" x14ac:dyDescent="0.35">
      <c r="A14" s="9" t="s">
        <v>1116</v>
      </c>
      <c r="B14">
        <v>1</v>
      </c>
    </row>
    <row r="15" spans="1:2" x14ac:dyDescent="0.35">
      <c r="A15" s="9" t="s">
        <v>1103</v>
      </c>
      <c r="B15">
        <v>4</v>
      </c>
    </row>
    <row r="16" spans="1:2" x14ac:dyDescent="0.35">
      <c r="A16" s="9" t="s">
        <v>1101</v>
      </c>
      <c r="B16">
        <v>3</v>
      </c>
    </row>
    <row r="17" spans="1:2" x14ac:dyDescent="0.35">
      <c r="A17" s="9" t="s">
        <v>1106</v>
      </c>
      <c r="B17">
        <v>5</v>
      </c>
    </row>
    <row r="18" spans="1:2" x14ac:dyDescent="0.35">
      <c r="A18" s="9" t="s">
        <v>1115</v>
      </c>
      <c r="B18">
        <v>1</v>
      </c>
    </row>
    <row r="19" spans="1:2" x14ac:dyDescent="0.35">
      <c r="A19" s="9" t="s">
        <v>1099</v>
      </c>
      <c r="B19">
        <v>38</v>
      </c>
    </row>
    <row r="20" spans="1:2" x14ac:dyDescent="0.35">
      <c r="A20" s="9" t="s">
        <v>1107</v>
      </c>
      <c r="B20">
        <v>1</v>
      </c>
    </row>
    <row r="21" spans="1:2" x14ac:dyDescent="0.35">
      <c r="A21" s="9" t="s">
        <v>1110</v>
      </c>
      <c r="B21">
        <v>7</v>
      </c>
    </row>
    <row r="22" spans="1:2" x14ac:dyDescent="0.35">
      <c r="A22" s="9" t="s">
        <v>1121</v>
      </c>
      <c r="B22">
        <v>200</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71074-AEBD-47A0-A8B4-0AC2474ACD79}">
  <dimension ref="A3:C94"/>
  <sheetViews>
    <sheetView topLeftCell="A19" workbookViewId="0">
      <selection activeCell="A33" sqref="A33"/>
    </sheetView>
  </sheetViews>
  <sheetFormatPr defaultRowHeight="14.5" x14ac:dyDescent="0.35"/>
  <cols>
    <col min="1" max="1" width="21.81640625" bestFit="1" customWidth="1"/>
    <col min="2" max="2" width="18.6328125" bestFit="1" customWidth="1"/>
    <col min="3" max="3" width="16" bestFit="1" customWidth="1"/>
    <col min="4" max="4" width="10.1796875" bestFit="1" customWidth="1"/>
  </cols>
  <sheetData>
    <row r="3" spans="1:3" x14ac:dyDescent="0.35">
      <c r="A3" s="8" t="s">
        <v>1119</v>
      </c>
      <c r="B3" t="s">
        <v>1125</v>
      </c>
      <c r="C3" t="s">
        <v>1130</v>
      </c>
    </row>
    <row r="4" spans="1:3" x14ac:dyDescent="0.35">
      <c r="A4" s="9" t="s">
        <v>1126</v>
      </c>
      <c r="B4" s="6">
        <v>581820</v>
      </c>
      <c r="C4">
        <v>4</v>
      </c>
    </row>
    <row r="5" spans="1:3" x14ac:dyDescent="0.35">
      <c r="A5" s="10" t="s">
        <v>614</v>
      </c>
      <c r="B5" s="6">
        <v>201600</v>
      </c>
      <c r="C5">
        <v>1</v>
      </c>
    </row>
    <row r="6" spans="1:3" x14ac:dyDescent="0.35">
      <c r="A6" s="11" t="s">
        <v>1109</v>
      </c>
      <c r="B6" s="6">
        <v>201600</v>
      </c>
      <c r="C6">
        <v>1</v>
      </c>
    </row>
    <row r="7" spans="1:3" x14ac:dyDescent="0.35">
      <c r="A7" s="10" t="s">
        <v>609</v>
      </c>
      <c r="B7" s="6">
        <v>126020</v>
      </c>
      <c r="C7">
        <v>2</v>
      </c>
    </row>
    <row r="8" spans="1:3" x14ac:dyDescent="0.35">
      <c r="A8" s="11" t="s">
        <v>1100</v>
      </c>
      <c r="B8" s="6">
        <v>31250</v>
      </c>
      <c r="C8">
        <v>1</v>
      </c>
    </row>
    <row r="9" spans="1:3" x14ac:dyDescent="0.35">
      <c r="A9" s="11" t="s">
        <v>1099</v>
      </c>
      <c r="B9" s="6">
        <v>94770</v>
      </c>
      <c r="C9">
        <v>1</v>
      </c>
    </row>
    <row r="10" spans="1:3" x14ac:dyDescent="0.35">
      <c r="A10" s="10" t="s">
        <v>615</v>
      </c>
      <c r="B10" s="6">
        <v>254200</v>
      </c>
      <c r="C10">
        <v>1</v>
      </c>
    </row>
    <row r="11" spans="1:3" x14ac:dyDescent="0.35">
      <c r="A11" s="11" t="s">
        <v>1113</v>
      </c>
      <c r="B11" s="6">
        <v>254200</v>
      </c>
      <c r="C11">
        <v>1</v>
      </c>
    </row>
    <row r="12" spans="1:3" x14ac:dyDescent="0.35">
      <c r="A12" s="9" t="s">
        <v>1127</v>
      </c>
      <c r="B12" s="6">
        <v>2983911.8000000003</v>
      </c>
      <c r="C12">
        <v>48</v>
      </c>
    </row>
    <row r="13" spans="1:3" x14ac:dyDescent="0.35">
      <c r="A13" s="10" t="s">
        <v>612</v>
      </c>
      <c r="B13" s="6">
        <v>145765.20000000001</v>
      </c>
      <c r="C13">
        <v>12</v>
      </c>
    </row>
    <row r="14" spans="1:3" x14ac:dyDescent="0.35">
      <c r="A14" s="11" t="s">
        <v>1112</v>
      </c>
      <c r="B14" s="6">
        <v>4200</v>
      </c>
      <c r="C14">
        <v>1</v>
      </c>
    </row>
    <row r="15" spans="1:3" x14ac:dyDescent="0.35">
      <c r="A15" s="11" t="s">
        <v>1100</v>
      </c>
      <c r="B15" s="6">
        <v>1050</v>
      </c>
      <c r="C15">
        <v>1</v>
      </c>
    </row>
    <row r="16" spans="1:3" x14ac:dyDescent="0.35">
      <c r="A16" s="11" t="s">
        <v>1109</v>
      </c>
      <c r="B16" s="6">
        <v>42490</v>
      </c>
      <c r="C16">
        <v>4</v>
      </c>
    </row>
    <row r="17" spans="1:3" x14ac:dyDescent="0.35">
      <c r="A17" s="11" t="s">
        <v>1105</v>
      </c>
      <c r="B17" s="6">
        <v>11250</v>
      </c>
      <c r="C17">
        <v>1</v>
      </c>
    </row>
    <row r="18" spans="1:3" x14ac:dyDescent="0.35">
      <c r="A18" s="11" t="s">
        <v>1104</v>
      </c>
      <c r="B18" s="6">
        <v>750</v>
      </c>
      <c r="C18">
        <v>1</v>
      </c>
    </row>
    <row r="19" spans="1:3" x14ac:dyDescent="0.35">
      <c r="A19" s="11" t="s">
        <v>1116</v>
      </c>
      <c r="B19" s="6">
        <v>1950.2</v>
      </c>
      <c r="C19">
        <v>1</v>
      </c>
    </row>
    <row r="20" spans="1:3" x14ac:dyDescent="0.35">
      <c r="A20" s="11" t="s">
        <v>1103</v>
      </c>
      <c r="B20" s="6">
        <v>4375</v>
      </c>
      <c r="C20">
        <v>1</v>
      </c>
    </row>
    <row r="21" spans="1:3" x14ac:dyDescent="0.35">
      <c r="A21" s="11" t="s">
        <v>1099</v>
      </c>
      <c r="B21" s="6">
        <v>79700</v>
      </c>
      <c r="C21">
        <v>2</v>
      </c>
    </row>
    <row r="22" spans="1:3" x14ac:dyDescent="0.35">
      <c r="A22" s="10" t="s">
        <v>609</v>
      </c>
      <c r="B22" s="6">
        <v>583984.80000000005</v>
      </c>
      <c r="C22">
        <v>12</v>
      </c>
    </row>
    <row r="23" spans="1:3" x14ac:dyDescent="0.35">
      <c r="A23" s="11" t="s">
        <v>1066</v>
      </c>
      <c r="B23" s="6">
        <v>175050</v>
      </c>
      <c r="C23">
        <v>2</v>
      </c>
    </row>
    <row r="24" spans="1:3" x14ac:dyDescent="0.35">
      <c r="A24" s="11" t="s">
        <v>1109</v>
      </c>
      <c r="B24" s="6">
        <v>224380</v>
      </c>
      <c r="C24">
        <v>5</v>
      </c>
    </row>
    <row r="25" spans="1:3" x14ac:dyDescent="0.35">
      <c r="A25" s="11" t="s">
        <v>1111</v>
      </c>
      <c r="B25" s="6">
        <v>68100</v>
      </c>
      <c r="C25">
        <v>2</v>
      </c>
    </row>
    <row r="26" spans="1:3" x14ac:dyDescent="0.35">
      <c r="A26" s="11" t="s">
        <v>1106</v>
      </c>
      <c r="B26" s="6">
        <v>35880</v>
      </c>
      <c r="C26">
        <v>1</v>
      </c>
    </row>
    <row r="27" spans="1:3" x14ac:dyDescent="0.35">
      <c r="A27" s="11" t="s">
        <v>1115</v>
      </c>
      <c r="B27" s="6">
        <v>4674.7999999999993</v>
      </c>
      <c r="C27">
        <v>1</v>
      </c>
    </row>
    <row r="28" spans="1:3" x14ac:dyDescent="0.35">
      <c r="A28" s="11" t="s">
        <v>1099</v>
      </c>
      <c r="B28" s="6">
        <v>75900</v>
      </c>
      <c r="C28">
        <v>1</v>
      </c>
    </row>
    <row r="29" spans="1:3" x14ac:dyDescent="0.35">
      <c r="A29" s="10" t="s">
        <v>615</v>
      </c>
      <c r="B29" s="6">
        <v>2013768.7</v>
      </c>
      <c r="C29">
        <v>16</v>
      </c>
    </row>
    <row r="30" spans="1:3" x14ac:dyDescent="0.35">
      <c r="A30" s="11" t="s">
        <v>1100</v>
      </c>
      <c r="B30" s="6">
        <v>116760</v>
      </c>
      <c r="C30">
        <v>1</v>
      </c>
    </row>
    <row r="31" spans="1:3" x14ac:dyDescent="0.35">
      <c r="A31" s="11" t="s">
        <v>1109</v>
      </c>
      <c r="B31" s="6">
        <v>722872</v>
      </c>
      <c r="C31">
        <v>8</v>
      </c>
    </row>
    <row r="32" spans="1:3" x14ac:dyDescent="0.35">
      <c r="A32" s="11" t="s">
        <v>1104</v>
      </c>
      <c r="B32" s="6">
        <v>79577.7</v>
      </c>
      <c r="C32">
        <v>1</v>
      </c>
    </row>
    <row r="33" spans="1:3" x14ac:dyDescent="0.35">
      <c r="A33" s="11" t="s">
        <v>1099</v>
      </c>
      <c r="B33" s="6">
        <v>1000809</v>
      </c>
      <c r="C33">
        <v>5</v>
      </c>
    </row>
    <row r="34" spans="1:3" x14ac:dyDescent="0.35">
      <c r="A34" s="11" t="s">
        <v>1110</v>
      </c>
      <c r="B34" s="6">
        <v>93750</v>
      </c>
      <c r="C34">
        <v>1</v>
      </c>
    </row>
    <row r="35" spans="1:3" x14ac:dyDescent="0.35">
      <c r="A35" s="10" t="s">
        <v>616</v>
      </c>
      <c r="B35" s="6">
        <v>213750</v>
      </c>
      <c r="C35">
        <v>3</v>
      </c>
    </row>
    <row r="36" spans="1:3" x14ac:dyDescent="0.35">
      <c r="A36" s="11" t="s">
        <v>1109</v>
      </c>
      <c r="B36" s="6">
        <v>213750</v>
      </c>
      <c r="C36">
        <v>3</v>
      </c>
    </row>
    <row r="37" spans="1:3" x14ac:dyDescent="0.35">
      <c r="A37" s="10" t="s">
        <v>611</v>
      </c>
      <c r="B37" s="6">
        <v>26643.1</v>
      </c>
      <c r="C37">
        <v>5</v>
      </c>
    </row>
    <row r="38" spans="1:3" x14ac:dyDescent="0.35">
      <c r="A38" s="11" t="s">
        <v>1066</v>
      </c>
      <c r="B38" s="6">
        <v>1120</v>
      </c>
      <c r="C38">
        <v>1</v>
      </c>
    </row>
    <row r="39" spans="1:3" x14ac:dyDescent="0.35">
      <c r="A39" s="11" t="s">
        <v>1109</v>
      </c>
      <c r="B39" s="6">
        <v>12960</v>
      </c>
      <c r="C39">
        <v>1</v>
      </c>
    </row>
    <row r="40" spans="1:3" x14ac:dyDescent="0.35">
      <c r="A40" s="11" t="s">
        <v>1101</v>
      </c>
      <c r="B40" s="6">
        <v>6860</v>
      </c>
      <c r="C40">
        <v>1</v>
      </c>
    </row>
    <row r="41" spans="1:3" x14ac:dyDescent="0.35">
      <c r="A41" s="11" t="s">
        <v>1099</v>
      </c>
      <c r="B41" s="6">
        <v>4478.1000000000004</v>
      </c>
      <c r="C41">
        <v>1</v>
      </c>
    </row>
    <row r="42" spans="1:3" x14ac:dyDescent="0.35">
      <c r="A42" s="11" t="s">
        <v>1110</v>
      </c>
      <c r="B42" s="6">
        <v>1225</v>
      </c>
      <c r="C42">
        <v>1</v>
      </c>
    </row>
    <row r="43" spans="1:3" x14ac:dyDescent="0.35">
      <c r="A43" s="9" t="s">
        <v>1128</v>
      </c>
      <c r="B43" s="6">
        <v>17767537</v>
      </c>
      <c r="C43">
        <v>148</v>
      </c>
    </row>
    <row r="44" spans="1:3" x14ac:dyDescent="0.35">
      <c r="A44" s="10" t="s">
        <v>614</v>
      </c>
      <c r="B44" s="6">
        <v>1027350</v>
      </c>
      <c r="C44">
        <v>7</v>
      </c>
    </row>
    <row r="45" spans="1:3" x14ac:dyDescent="0.35">
      <c r="A45" s="11" t="s">
        <v>1102</v>
      </c>
      <c r="B45" s="6">
        <v>12150</v>
      </c>
      <c r="C45">
        <v>1</v>
      </c>
    </row>
    <row r="46" spans="1:3" x14ac:dyDescent="0.35">
      <c r="A46" s="11" t="s">
        <v>1109</v>
      </c>
      <c r="B46" s="6">
        <v>731800</v>
      </c>
      <c r="C46">
        <v>4</v>
      </c>
    </row>
    <row r="47" spans="1:3" x14ac:dyDescent="0.35">
      <c r="A47" s="11" t="s">
        <v>1105</v>
      </c>
      <c r="B47" s="6">
        <v>46800</v>
      </c>
      <c r="C47">
        <v>1</v>
      </c>
    </row>
    <row r="48" spans="1:3" x14ac:dyDescent="0.35">
      <c r="A48" s="11" t="s">
        <v>1099</v>
      </c>
      <c r="B48" s="6">
        <v>236600</v>
      </c>
      <c r="C48">
        <v>1</v>
      </c>
    </row>
    <row r="49" spans="1:3" x14ac:dyDescent="0.35">
      <c r="A49" s="10" t="s">
        <v>612</v>
      </c>
      <c r="B49" s="6">
        <v>184602</v>
      </c>
      <c r="C49">
        <v>15</v>
      </c>
    </row>
    <row r="50" spans="1:3" x14ac:dyDescent="0.35">
      <c r="A50" s="11" t="s">
        <v>1102</v>
      </c>
      <c r="B50" s="6">
        <v>4000</v>
      </c>
      <c r="C50">
        <v>1</v>
      </c>
    </row>
    <row r="51" spans="1:3" x14ac:dyDescent="0.35">
      <c r="A51" s="11" t="s">
        <v>1066</v>
      </c>
      <c r="B51" s="6">
        <v>6615</v>
      </c>
      <c r="C51">
        <v>1</v>
      </c>
    </row>
    <row r="52" spans="1:3" x14ac:dyDescent="0.35">
      <c r="A52" s="11" t="s">
        <v>1100</v>
      </c>
      <c r="B52" s="6">
        <v>49572</v>
      </c>
      <c r="C52">
        <v>1</v>
      </c>
    </row>
    <row r="53" spans="1:3" x14ac:dyDescent="0.35">
      <c r="A53" s="11" t="s">
        <v>1109</v>
      </c>
      <c r="B53" s="6">
        <v>98365</v>
      </c>
      <c r="C53">
        <v>6</v>
      </c>
    </row>
    <row r="54" spans="1:3" x14ac:dyDescent="0.35">
      <c r="A54" s="11" t="s">
        <v>1104</v>
      </c>
      <c r="B54" s="6">
        <v>7560</v>
      </c>
      <c r="C54">
        <v>1</v>
      </c>
    </row>
    <row r="55" spans="1:3" x14ac:dyDescent="0.35">
      <c r="A55" s="11" t="s">
        <v>1103</v>
      </c>
      <c r="B55" s="6">
        <v>2240</v>
      </c>
      <c r="C55">
        <v>1</v>
      </c>
    </row>
    <row r="56" spans="1:3" x14ac:dyDescent="0.35">
      <c r="A56" s="11" t="s">
        <v>1101</v>
      </c>
      <c r="B56" s="6">
        <v>2250</v>
      </c>
      <c r="C56">
        <v>1</v>
      </c>
    </row>
    <row r="57" spans="1:3" x14ac:dyDescent="0.35">
      <c r="A57" s="11" t="s">
        <v>1099</v>
      </c>
      <c r="B57" s="6">
        <v>12600</v>
      </c>
      <c r="C57">
        <v>2</v>
      </c>
    </row>
    <row r="58" spans="1:3" x14ac:dyDescent="0.35">
      <c r="A58" s="11" t="s">
        <v>1110</v>
      </c>
      <c r="B58" s="6">
        <v>1400</v>
      </c>
      <c r="C58">
        <v>1</v>
      </c>
    </row>
    <row r="59" spans="1:3" x14ac:dyDescent="0.35">
      <c r="A59" s="10" t="s">
        <v>609</v>
      </c>
      <c r="B59" s="6">
        <v>4883408.2</v>
      </c>
      <c r="C59">
        <v>53</v>
      </c>
    </row>
    <row r="60" spans="1:3" x14ac:dyDescent="0.35">
      <c r="A60" s="11" t="s">
        <v>1102</v>
      </c>
      <c r="B60" s="6">
        <v>391200</v>
      </c>
      <c r="C60">
        <v>2</v>
      </c>
    </row>
    <row r="61" spans="1:3" x14ac:dyDescent="0.35">
      <c r="A61" s="11" t="s">
        <v>1066</v>
      </c>
      <c r="B61" s="6">
        <v>1175232.5</v>
      </c>
      <c r="C61">
        <v>12</v>
      </c>
    </row>
    <row r="62" spans="1:3" x14ac:dyDescent="0.35">
      <c r="A62" s="11" t="s">
        <v>1109</v>
      </c>
      <c r="B62" s="6">
        <v>2057180.7</v>
      </c>
      <c r="C62">
        <v>15</v>
      </c>
    </row>
    <row r="63" spans="1:3" x14ac:dyDescent="0.35">
      <c r="A63" s="11" t="s">
        <v>1108</v>
      </c>
      <c r="B63" s="6">
        <v>23400</v>
      </c>
      <c r="C63">
        <v>1</v>
      </c>
    </row>
    <row r="64" spans="1:3" x14ac:dyDescent="0.35">
      <c r="A64" s="11" t="s">
        <v>1104</v>
      </c>
      <c r="B64" s="6">
        <v>161050</v>
      </c>
      <c r="C64">
        <v>3</v>
      </c>
    </row>
    <row r="65" spans="1:3" x14ac:dyDescent="0.35">
      <c r="A65" s="11" t="s">
        <v>1103</v>
      </c>
      <c r="B65" s="6">
        <v>112470</v>
      </c>
      <c r="C65">
        <v>2</v>
      </c>
    </row>
    <row r="66" spans="1:3" x14ac:dyDescent="0.35">
      <c r="A66" s="11" t="s">
        <v>1101</v>
      </c>
      <c r="B66" s="6">
        <v>33600</v>
      </c>
      <c r="C66">
        <v>1</v>
      </c>
    </row>
    <row r="67" spans="1:3" x14ac:dyDescent="0.35">
      <c r="A67" s="11" t="s">
        <v>1106</v>
      </c>
      <c r="B67" s="6">
        <v>73760</v>
      </c>
      <c r="C67">
        <v>3</v>
      </c>
    </row>
    <row r="68" spans="1:3" x14ac:dyDescent="0.35">
      <c r="A68" s="11" t="s">
        <v>1099</v>
      </c>
      <c r="B68" s="6">
        <v>838615</v>
      </c>
      <c r="C68">
        <v>12</v>
      </c>
    </row>
    <row r="69" spans="1:3" x14ac:dyDescent="0.35">
      <c r="A69" s="11" t="s">
        <v>1107</v>
      </c>
      <c r="B69" s="6">
        <v>3900</v>
      </c>
      <c r="C69">
        <v>1</v>
      </c>
    </row>
    <row r="70" spans="1:3" x14ac:dyDescent="0.35">
      <c r="A70" s="11" t="s">
        <v>1110</v>
      </c>
      <c r="B70" s="6">
        <v>13000</v>
      </c>
      <c r="C70">
        <v>1</v>
      </c>
    </row>
    <row r="71" spans="1:3" x14ac:dyDescent="0.35">
      <c r="A71" s="10" t="s">
        <v>615</v>
      </c>
      <c r="B71" s="6">
        <v>10914443</v>
      </c>
      <c r="C71">
        <v>57</v>
      </c>
    </row>
    <row r="72" spans="1:3" x14ac:dyDescent="0.35">
      <c r="A72" s="11" t="s">
        <v>1102</v>
      </c>
      <c r="B72" s="6">
        <v>193600</v>
      </c>
      <c r="C72">
        <v>2</v>
      </c>
    </row>
    <row r="73" spans="1:3" x14ac:dyDescent="0.35">
      <c r="A73" s="11" t="s">
        <v>1066</v>
      </c>
      <c r="B73" s="6">
        <v>2332648</v>
      </c>
      <c r="C73">
        <v>11</v>
      </c>
    </row>
    <row r="74" spans="1:3" x14ac:dyDescent="0.35">
      <c r="A74" s="11" t="s">
        <v>1100</v>
      </c>
      <c r="B74" s="6">
        <v>442800</v>
      </c>
      <c r="C74">
        <v>2</v>
      </c>
    </row>
    <row r="75" spans="1:3" x14ac:dyDescent="0.35">
      <c r="A75" s="11" t="s">
        <v>1109</v>
      </c>
      <c r="B75" s="6">
        <v>3871040</v>
      </c>
      <c r="C75">
        <v>20</v>
      </c>
    </row>
    <row r="76" spans="1:3" x14ac:dyDescent="0.35">
      <c r="A76" s="11" t="s">
        <v>1113</v>
      </c>
      <c r="B76" s="6">
        <v>268800</v>
      </c>
      <c r="C76">
        <v>1</v>
      </c>
    </row>
    <row r="77" spans="1:3" x14ac:dyDescent="0.35">
      <c r="A77" s="11" t="s">
        <v>1105</v>
      </c>
      <c r="B77" s="6">
        <v>129500</v>
      </c>
      <c r="C77">
        <v>2</v>
      </c>
    </row>
    <row r="78" spans="1:3" x14ac:dyDescent="0.35">
      <c r="A78" s="11" t="s">
        <v>1104</v>
      </c>
      <c r="B78" s="6">
        <v>632830</v>
      </c>
      <c r="C78">
        <v>5</v>
      </c>
    </row>
    <row r="79" spans="1:3" x14ac:dyDescent="0.35">
      <c r="A79" s="11" t="s">
        <v>1099</v>
      </c>
      <c r="B79" s="6">
        <v>2365145</v>
      </c>
      <c r="C79">
        <v>11</v>
      </c>
    </row>
    <row r="80" spans="1:3" x14ac:dyDescent="0.35">
      <c r="A80" s="11" t="s">
        <v>1110</v>
      </c>
      <c r="B80" s="6">
        <v>678080</v>
      </c>
      <c r="C80">
        <v>3</v>
      </c>
    </row>
    <row r="81" spans="1:3" x14ac:dyDescent="0.35">
      <c r="A81" s="10" t="s">
        <v>616</v>
      </c>
      <c r="B81" s="6">
        <v>560475</v>
      </c>
      <c r="C81">
        <v>4</v>
      </c>
    </row>
    <row r="82" spans="1:3" x14ac:dyDescent="0.35">
      <c r="A82" s="11" t="s">
        <v>1066</v>
      </c>
      <c r="B82" s="6">
        <v>219600</v>
      </c>
      <c r="C82">
        <v>2</v>
      </c>
    </row>
    <row r="83" spans="1:3" x14ac:dyDescent="0.35">
      <c r="A83" s="11" t="s">
        <v>1109</v>
      </c>
      <c r="B83" s="6">
        <v>151875</v>
      </c>
      <c r="C83">
        <v>1</v>
      </c>
    </row>
    <row r="84" spans="1:3" x14ac:dyDescent="0.35">
      <c r="A84" s="11" t="s">
        <v>1105</v>
      </c>
      <c r="B84" s="6">
        <v>189000</v>
      </c>
      <c r="C84">
        <v>1</v>
      </c>
    </row>
    <row r="85" spans="1:3" x14ac:dyDescent="0.35">
      <c r="A85" s="10" t="s">
        <v>611</v>
      </c>
      <c r="B85" s="6">
        <v>197258.8</v>
      </c>
      <c r="C85">
        <v>12</v>
      </c>
    </row>
    <row r="86" spans="1:3" x14ac:dyDescent="0.35">
      <c r="A86" s="11" t="s">
        <v>1102</v>
      </c>
      <c r="B86" s="6">
        <v>6860</v>
      </c>
      <c r="C86">
        <v>1</v>
      </c>
    </row>
    <row r="87" spans="1:3" x14ac:dyDescent="0.35">
      <c r="A87" s="11" t="s">
        <v>1066</v>
      </c>
      <c r="B87" s="6">
        <v>13148.8</v>
      </c>
      <c r="C87">
        <v>2</v>
      </c>
    </row>
    <row r="88" spans="1:3" x14ac:dyDescent="0.35">
      <c r="A88" s="11" t="s">
        <v>1100</v>
      </c>
      <c r="B88" s="6">
        <v>31320</v>
      </c>
      <c r="C88">
        <v>1</v>
      </c>
    </row>
    <row r="89" spans="1:3" x14ac:dyDescent="0.35">
      <c r="A89" s="11" t="s">
        <v>1109</v>
      </c>
      <c r="B89" s="6">
        <v>106800</v>
      </c>
      <c r="C89">
        <v>3</v>
      </c>
    </row>
    <row r="90" spans="1:3" x14ac:dyDescent="0.35">
      <c r="A90" s="11" t="s">
        <v>1113</v>
      </c>
      <c r="B90" s="6">
        <v>2310</v>
      </c>
      <c r="C90">
        <v>1</v>
      </c>
    </row>
    <row r="91" spans="1:3" x14ac:dyDescent="0.35">
      <c r="A91" s="11" t="s">
        <v>1104</v>
      </c>
      <c r="B91" s="6">
        <v>8400</v>
      </c>
      <c r="C91">
        <v>1</v>
      </c>
    </row>
    <row r="92" spans="1:3" x14ac:dyDescent="0.35">
      <c r="A92" s="11" t="s">
        <v>1106</v>
      </c>
      <c r="B92" s="6">
        <v>3640</v>
      </c>
      <c r="C92">
        <v>1</v>
      </c>
    </row>
    <row r="93" spans="1:3" x14ac:dyDescent="0.35">
      <c r="A93" s="11" t="s">
        <v>1099</v>
      </c>
      <c r="B93" s="6">
        <v>24780</v>
      </c>
      <c r="C93">
        <v>2</v>
      </c>
    </row>
    <row r="94" spans="1:3" x14ac:dyDescent="0.35">
      <c r="A94" s="9" t="s">
        <v>1121</v>
      </c>
      <c r="B94" s="6">
        <v>21333268.800000001</v>
      </c>
      <c r="C94">
        <v>200</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8A314-221D-46EF-96D5-9433E5B5F4DA}">
  <dimension ref="A3:D351"/>
  <sheetViews>
    <sheetView topLeftCell="A31" workbookViewId="0">
      <selection activeCell="C38" sqref="C38"/>
    </sheetView>
  </sheetViews>
  <sheetFormatPr defaultRowHeight="14.5" x14ac:dyDescent="0.35"/>
  <cols>
    <col min="1" max="1" width="21.1796875" bestFit="1" customWidth="1"/>
    <col min="2" max="2" width="14.90625" bestFit="1" customWidth="1"/>
    <col min="3" max="3" width="13.90625" bestFit="1" customWidth="1"/>
    <col min="4" max="4" width="16" bestFit="1" customWidth="1"/>
  </cols>
  <sheetData>
    <row r="3" spans="1:3" x14ac:dyDescent="0.35">
      <c r="A3" s="8" t="s">
        <v>1119</v>
      </c>
      <c r="B3" t="s">
        <v>1130</v>
      </c>
      <c r="C3" t="s">
        <v>1125</v>
      </c>
    </row>
    <row r="4" spans="1:3" x14ac:dyDescent="0.35">
      <c r="A4" s="9" t="s">
        <v>1020</v>
      </c>
      <c r="B4">
        <v>1</v>
      </c>
      <c r="C4" s="6">
        <v>27720</v>
      </c>
    </row>
    <row r="5" spans="1:3" x14ac:dyDescent="0.35">
      <c r="A5" s="9" t="s">
        <v>1018</v>
      </c>
      <c r="B5">
        <v>33</v>
      </c>
      <c r="C5" s="6">
        <v>4756657</v>
      </c>
    </row>
    <row r="6" spans="1:3" x14ac:dyDescent="0.35">
      <c r="A6" s="9" t="s">
        <v>1021</v>
      </c>
      <c r="B6">
        <v>3</v>
      </c>
      <c r="C6" s="6">
        <v>465400</v>
      </c>
    </row>
    <row r="7" spans="1:3" x14ac:dyDescent="0.35">
      <c r="A7" s="9" t="s">
        <v>1030</v>
      </c>
      <c r="B7">
        <v>8</v>
      </c>
      <c r="C7" s="6">
        <v>190147.5</v>
      </c>
    </row>
    <row r="8" spans="1:3" x14ac:dyDescent="0.35">
      <c r="A8" s="9" t="s">
        <v>1014</v>
      </c>
      <c r="B8">
        <v>13</v>
      </c>
      <c r="C8" s="6">
        <v>80343.100000000006</v>
      </c>
    </row>
    <row r="9" spans="1:3" x14ac:dyDescent="0.35">
      <c r="A9" s="9" t="s">
        <v>1012</v>
      </c>
      <c r="B9">
        <v>1</v>
      </c>
      <c r="C9" s="6">
        <v>4500</v>
      </c>
    </row>
    <row r="10" spans="1:3" x14ac:dyDescent="0.35">
      <c r="A10" s="9" t="s">
        <v>1011</v>
      </c>
      <c r="B10">
        <v>2</v>
      </c>
      <c r="C10" s="6">
        <v>36750</v>
      </c>
    </row>
    <row r="11" spans="1:3" x14ac:dyDescent="0.35">
      <c r="A11" s="9" t="s">
        <v>1027</v>
      </c>
      <c r="B11">
        <v>1</v>
      </c>
      <c r="C11" s="6">
        <v>48608</v>
      </c>
    </row>
    <row r="12" spans="1:3" x14ac:dyDescent="0.35">
      <c r="A12" s="9" t="s">
        <v>1016</v>
      </c>
      <c r="B12">
        <v>2</v>
      </c>
      <c r="C12" s="6">
        <v>17310</v>
      </c>
    </row>
    <row r="13" spans="1:3" x14ac:dyDescent="0.35">
      <c r="A13" s="9" t="s">
        <v>1013</v>
      </c>
      <c r="B13">
        <v>80</v>
      </c>
      <c r="C13" s="6">
        <v>9820809.1999999993</v>
      </c>
    </row>
    <row r="14" spans="1:3" x14ac:dyDescent="0.35">
      <c r="A14" s="9" t="s">
        <v>1034</v>
      </c>
      <c r="B14">
        <v>5</v>
      </c>
      <c r="C14" s="6">
        <v>601625</v>
      </c>
    </row>
    <row r="15" spans="1:3" x14ac:dyDescent="0.35">
      <c r="A15" s="9" t="s">
        <v>1032</v>
      </c>
      <c r="B15">
        <v>3</v>
      </c>
      <c r="C15" s="6">
        <v>99880</v>
      </c>
    </row>
    <row r="16" spans="1:3" x14ac:dyDescent="0.35">
      <c r="A16" s="9" t="s">
        <v>1024</v>
      </c>
      <c r="B16">
        <v>3</v>
      </c>
      <c r="C16" s="6">
        <v>189550</v>
      </c>
    </row>
    <row r="17" spans="1:3" x14ac:dyDescent="0.35">
      <c r="A17" s="9" t="s">
        <v>1022</v>
      </c>
      <c r="B17">
        <v>6</v>
      </c>
      <c r="C17" s="6">
        <v>162284</v>
      </c>
    </row>
    <row r="18" spans="1:3" x14ac:dyDescent="0.35">
      <c r="A18" s="9" t="s">
        <v>1025</v>
      </c>
      <c r="B18">
        <v>1</v>
      </c>
      <c r="C18" s="6">
        <v>6615</v>
      </c>
    </row>
    <row r="19" spans="1:3" x14ac:dyDescent="0.35">
      <c r="A19" s="9" t="s">
        <v>1033</v>
      </c>
      <c r="B19">
        <v>18</v>
      </c>
      <c r="C19" s="6">
        <v>3553380</v>
      </c>
    </row>
    <row r="20" spans="1:3" x14ac:dyDescent="0.35">
      <c r="A20" s="9" t="s">
        <v>1017</v>
      </c>
      <c r="B20">
        <v>9</v>
      </c>
      <c r="C20" s="6">
        <v>341310</v>
      </c>
    </row>
    <row r="21" spans="1:3" x14ac:dyDescent="0.35">
      <c r="A21" s="9" t="s">
        <v>1031</v>
      </c>
      <c r="B21">
        <v>1</v>
      </c>
      <c r="C21" s="6">
        <v>4200</v>
      </c>
    </row>
    <row r="22" spans="1:3" x14ac:dyDescent="0.35">
      <c r="A22" s="9" t="s">
        <v>1035</v>
      </c>
      <c r="B22">
        <v>1</v>
      </c>
      <c r="C22" s="6">
        <v>200000</v>
      </c>
    </row>
    <row r="23" spans="1:3" x14ac:dyDescent="0.35">
      <c r="A23" s="9" t="s">
        <v>1029</v>
      </c>
      <c r="B23">
        <v>1</v>
      </c>
      <c r="C23" s="6">
        <v>48000</v>
      </c>
    </row>
    <row r="24" spans="1:3" x14ac:dyDescent="0.35">
      <c r="A24" s="9" t="s">
        <v>1023</v>
      </c>
      <c r="B24">
        <v>5</v>
      </c>
      <c r="C24" s="6">
        <v>612300</v>
      </c>
    </row>
    <row r="25" spans="1:3" x14ac:dyDescent="0.35">
      <c r="A25" s="9" t="s">
        <v>1015</v>
      </c>
      <c r="B25">
        <v>3</v>
      </c>
      <c r="C25" s="6">
        <v>65880</v>
      </c>
    </row>
    <row r="26" spans="1:3" x14ac:dyDescent="0.35">
      <c r="A26" s="9" t="s">
        <v>1121</v>
      </c>
      <c r="B26">
        <v>200</v>
      </c>
      <c r="C26" s="6">
        <v>21333268.799999997</v>
      </c>
    </row>
    <row r="33" spans="1:4" x14ac:dyDescent="0.35">
      <c r="A33" s="8" t="s">
        <v>1122</v>
      </c>
      <c r="B33" t="s">
        <v>1134</v>
      </c>
      <c r="C33" t="s">
        <v>1135</v>
      </c>
      <c r="D33" t="s">
        <v>1130</v>
      </c>
    </row>
    <row r="34" spans="1:4" x14ac:dyDescent="0.35">
      <c r="A34" s="9" t="s">
        <v>1020</v>
      </c>
      <c r="B34" s="6">
        <v>27720</v>
      </c>
      <c r="C34" s="6">
        <v>4620</v>
      </c>
      <c r="D34">
        <v>1</v>
      </c>
    </row>
    <row r="35" spans="1:4" x14ac:dyDescent="0.35">
      <c r="A35" s="9" t="s">
        <v>1018</v>
      </c>
      <c r="B35" s="6">
        <v>4756657</v>
      </c>
      <c r="C35" s="6">
        <v>879467</v>
      </c>
      <c r="D35">
        <v>33</v>
      </c>
    </row>
    <row r="36" spans="1:4" x14ac:dyDescent="0.35">
      <c r="A36" s="9" t="s">
        <v>1021</v>
      </c>
      <c r="B36" s="6">
        <v>465400</v>
      </c>
      <c r="C36" s="6">
        <v>113400</v>
      </c>
      <c r="D36">
        <v>3</v>
      </c>
    </row>
    <row r="37" spans="1:4" x14ac:dyDescent="0.35">
      <c r="A37" s="9" t="s">
        <v>1030</v>
      </c>
      <c r="B37" s="6">
        <v>190147.5</v>
      </c>
      <c r="C37" s="6">
        <v>35597.5</v>
      </c>
      <c r="D37">
        <v>8</v>
      </c>
    </row>
    <row r="38" spans="1:4" x14ac:dyDescent="0.35">
      <c r="A38" s="9" t="s">
        <v>1014</v>
      </c>
      <c r="B38" s="6">
        <v>80343.100000000006</v>
      </c>
      <c r="C38" s="6">
        <v>21909.1</v>
      </c>
      <c r="D38">
        <v>13</v>
      </c>
    </row>
    <row r="39" spans="1:4" x14ac:dyDescent="0.35">
      <c r="A39" s="9" t="s">
        <v>1012</v>
      </c>
      <c r="B39" s="6">
        <v>4500</v>
      </c>
      <c r="C39" s="6">
        <v>900</v>
      </c>
      <c r="D39">
        <v>1</v>
      </c>
    </row>
    <row r="40" spans="1:4" x14ac:dyDescent="0.35">
      <c r="A40" s="9" t="s">
        <v>1011</v>
      </c>
      <c r="B40" s="6">
        <v>36750</v>
      </c>
      <c r="C40" s="6">
        <v>4950</v>
      </c>
      <c r="D40">
        <v>2</v>
      </c>
    </row>
    <row r="41" spans="1:4" x14ac:dyDescent="0.35">
      <c r="A41" s="9" t="s">
        <v>1027</v>
      </c>
      <c r="B41" s="6">
        <v>48608</v>
      </c>
      <c r="C41" s="6">
        <v>9408</v>
      </c>
      <c r="D41">
        <v>1</v>
      </c>
    </row>
    <row r="42" spans="1:4" x14ac:dyDescent="0.35">
      <c r="A42" s="9" t="s">
        <v>1016</v>
      </c>
      <c r="B42" s="6">
        <v>17310</v>
      </c>
      <c r="C42" s="6">
        <v>3160</v>
      </c>
      <c r="D42">
        <v>2</v>
      </c>
    </row>
    <row r="43" spans="1:4" x14ac:dyDescent="0.35">
      <c r="A43" s="9" t="s">
        <v>1013</v>
      </c>
      <c r="B43" s="6">
        <v>9820809.1999999993</v>
      </c>
      <c r="C43" s="6">
        <v>1926843.2</v>
      </c>
      <c r="D43">
        <v>80</v>
      </c>
    </row>
    <row r="44" spans="1:4" x14ac:dyDescent="0.35">
      <c r="A44" s="9" t="s">
        <v>1034</v>
      </c>
      <c r="B44" s="6">
        <v>601625</v>
      </c>
      <c r="C44" s="6">
        <v>142925</v>
      </c>
      <c r="D44">
        <v>5</v>
      </c>
    </row>
    <row r="45" spans="1:4" x14ac:dyDescent="0.35">
      <c r="A45" s="9" t="s">
        <v>1032</v>
      </c>
      <c r="B45" s="6">
        <v>99880</v>
      </c>
      <c r="C45" s="6">
        <v>23330</v>
      </c>
      <c r="D45">
        <v>3</v>
      </c>
    </row>
    <row r="46" spans="1:4" x14ac:dyDescent="0.35">
      <c r="A46" s="9" t="s">
        <v>1024</v>
      </c>
      <c r="B46" s="6">
        <v>189550</v>
      </c>
      <c r="C46" s="6">
        <v>38550</v>
      </c>
      <c r="D46">
        <v>3</v>
      </c>
    </row>
    <row r="47" spans="1:4" x14ac:dyDescent="0.35">
      <c r="A47" s="9" t="s">
        <v>1022</v>
      </c>
      <c r="B47" s="6">
        <v>162284</v>
      </c>
      <c r="C47" s="6">
        <v>40384</v>
      </c>
      <c r="D47">
        <v>6</v>
      </c>
    </row>
    <row r="48" spans="1:4" x14ac:dyDescent="0.35">
      <c r="A48" s="9" t="s">
        <v>1025</v>
      </c>
      <c r="B48" s="6">
        <v>6615</v>
      </c>
      <c r="C48" s="6">
        <v>1715</v>
      </c>
      <c r="D48">
        <v>1</v>
      </c>
    </row>
    <row r="49" spans="1:4" x14ac:dyDescent="0.35">
      <c r="A49" s="9" t="s">
        <v>1033</v>
      </c>
      <c r="B49" s="6">
        <v>3553380</v>
      </c>
      <c r="C49" s="6">
        <v>659630</v>
      </c>
      <c r="D49">
        <v>18</v>
      </c>
    </row>
    <row r="50" spans="1:4" x14ac:dyDescent="0.35">
      <c r="A50" s="9" t="s">
        <v>1017</v>
      </c>
      <c r="B50" s="6">
        <v>341310</v>
      </c>
      <c r="C50" s="6">
        <v>60710</v>
      </c>
      <c r="D50">
        <v>9</v>
      </c>
    </row>
    <row r="51" spans="1:4" x14ac:dyDescent="0.35">
      <c r="A51" s="9" t="s">
        <v>1031</v>
      </c>
      <c r="B51" s="6">
        <v>4200</v>
      </c>
      <c r="C51" s="6">
        <v>1200</v>
      </c>
      <c r="D51">
        <v>1</v>
      </c>
    </row>
    <row r="52" spans="1:4" x14ac:dyDescent="0.35">
      <c r="A52" s="9" t="s">
        <v>1035</v>
      </c>
      <c r="B52" s="6">
        <v>200000</v>
      </c>
      <c r="C52" s="6">
        <v>40000</v>
      </c>
      <c r="D52">
        <v>1</v>
      </c>
    </row>
    <row r="53" spans="1:4" x14ac:dyDescent="0.35">
      <c r="A53" s="9" t="s">
        <v>1029</v>
      </c>
      <c r="B53" s="6">
        <v>48000</v>
      </c>
      <c r="C53" s="6">
        <v>10500</v>
      </c>
      <c r="D53">
        <v>1</v>
      </c>
    </row>
    <row r="54" spans="1:4" x14ac:dyDescent="0.35">
      <c r="A54" s="9" t="s">
        <v>1023</v>
      </c>
      <c r="B54" s="6">
        <v>612300</v>
      </c>
      <c r="C54" s="6">
        <v>160300</v>
      </c>
      <c r="D54">
        <v>5</v>
      </c>
    </row>
    <row r="55" spans="1:4" x14ac:dyDescent="0.35">
      <c r="A55" s="9" t="s">
        <v>1015</v>
      </c>
      <c r="B55" s="6">
        <v>65880</v>
      </c>
      <c r="C55" s="6">
        <v>11430</v>
      </c>
      <c r="D55">
        <v>3</v>
      </c>
    </row>
    <row r="56" spans="1:4" x14ac:dyDescent="0.35">
      <c r="A56" s="9" t="s">
        <v>1121</v>
      </c>
      <c r="B56" s="6">
        <v>21333268.799999997</v>
      </c>
      <c r="C56" s="6">
        <v>4190928.8000000007</v>
      </c>
      <c r="D56">
        <v>200</v>
      </c>
    </row>
    <row r="209" spans="1:2" x14ac:dyDescent="0.35">
      <c r="A209" s="8" t="s">
        <v>1119</v>
      </c>
      <c r="B209" t="s">
        <v>1130</v>
      </c>
    </row>
    <row r="210" spans="1:2" x14ac:dyDescent="0.35">
      <c r="A210" s="9" t="s">
        <v>1020</v>
      </c>
      <c r="B210">
        <v>1</v>
      </c>
    </row>
    <row r="211" spans="1:2" x14ac:dyDescent="0.35">
      <c r="A211" s="9" t="s">
        <v>1018</v>
      </c>
      <c r="B211">
        <v>33</v>
      </c>
    </row>
    <row r="212" spans="1:2" x14ac:dyDescent="0.35">
      <c r="A212" s="9" t="s">
        <v>1021</v>
      </c>
      <c r="B212">
        <v>3</v>
      </c>
    </row>
    <row r="213" spans="1:2" x14ac:dyDescent="0.35">
      <c r="A213" s="9" t="s">
        <v>1030</v>
      </c>
      <c r="B213">
        <v>8</v>
      </c>
    </row>
    <row r="214" spans="1:2" x14ac:dyDescent="0.35">
      <c r="A214" s="9" t="s">
        <v>1014</v>
      </c>
      <c r="B214">
        <v>13</v>
      </c>
    </row>
    <row r="215" spans="1:2" x14ac:dyDescent="0.35">
      <c r="A215" s="9" t="s">
        <v>1012</v>
      </c>
      <c r="B215">
        <v>1</v>
      </c>
    </row>
    <row r="216" spans="1:2" x14ac:dyDescent="0.35">
      <c r="A216" s="9" t="s">
        <v>1011</v>
      </c>
      <c r="B216">
        <v>2</v>
      </c>
    </row>
    <row r="217" spans="1:2" x14ac:dyDescent="0.35">
      <c r="A217" s="9" t="s">
        <v>1027</v>
      </c>
      <c r="B217">
        <v>1</v>
      </c>
    </row>
    <row r="218" spans="1:2" x14ac:dyDescent="0.35">
      <c r="A218" s="9" t="s">
        <v>1016</v>
      </c>
      <c r="B218">
        <v>2</v>
      </c>
    </row>
    <row r="219" spans="1:2" x14ac:dyDescent="0.35">
      <c r="A219" s="9" t="s">
        <v>1013</v>
      </c>
      <c r="B219">
        <v>80</v>
      </c>
    </row>
    <row r="220" spans="1:2" x14ac:dyDescent="0.35">
      <c r="A220" s="9" t="s">
        <v>1034</v>
      </c>
      <c r="B220">
        <v>5</v>
      </c>
    </row>
    <row r="221" spans="1:2" x14ac:dyDescent="0.35">
      <c r="A221" s="9" t="s">
        <v>1032</v>
      </c>
      <c r="B221">
        <v>3</v>
      </c>
    </row>
    <row r="222" spans="1:2" x14ac:dyDescent="0.35">
      <c r="A222" s="9" t="s">
        <v>1024</v>
      </c>
      <c r="B222">
        <v>3</v>
      </c>
    </row>
    <row r="223" spans="1:2" x14ac:dyDescent="0.35">
      <c r="A223" s="9" t="s">
        <v>1022</v>
      </c>
      <c r="B223">
        <v>6</v>
      </c>
    </row>
    <row r="224" spans="1:2" x14ac:dyDescent="0.35">
      <c r="A224" s="9" t="s">
        <v>1025</v>
      </c>
      <c r="B224">
        <v>1</v>
      </c>
    </row>
    <row r="225" spans="1:2" x14ac:dyDescent="0.35">
      <c r="A225" s="9" t="s">
        <v>1033</v>
      </c>
      <c r="B225">
        <v>18</v>
      </c>
    </row>
    <row r="226" spans="1:2" x14ac:dyDescent="0.35">
      <c r="A226" s="9" t="s">
        <v>1017</v>
      </c>
      <c r="B226">
        <v>9</v>
      </c>
    </row>
    <row r="227" spans="1:2" x14ac:dyDescent="0.35">
      <c r="A227" s="9" t="s">
        <v>1031</v>
      </c>
      <c r="B227">
        <v>1</v>
      </c>
    </row>
    <row r="228" spans="1:2" x14ac:dyDescent="0.35">
      <c r="A228" s="9" t="s">
        <v>1035</v>
      </c>
      <c r="B228">
        <v>1</v>
      </c>
    </row>
    <row r="229" spans="1:2" x14ac:dyDescent="0.35">
      <c r="A229" s="9" t="s">
        <v>1029</v>
      </c>
      <c r="B229">
        <v>1</v>
      </c>
    </row>
    <row r="230" spans="1:2" x14ac:dyDescent="0.35">
      <c r="A230" s="9" t="s">
        <v>1023</v>
      </c>
      <c r="B230">
        <v>5</v>
      </c>
    </row>
    <row r="231" spans="1:2" x14ac:dyDescent="0.35">
      <c r="A231" s="9" t="s">
        <v>1015</v>
      </c>
      <c r="B231">
        <v>3</v>
      </c>
    </row>
    <row r="232" spans="1:2" x14ac:dyDescent="0.35">
      <c r="A232" s="9" t="s">
        <v>1121</v>
      </c>
      <c r="B232">
        <v>200</v>
      </c>
    </row>
    <row r="246" spans="1:2" x14ac:dyDescent="0.35">
      <c r="A246" s="8" t="s">
        <v>1119</v>
      </c>
      <c r="B246" t="s">
        <v>1130</v>
      </c>
    </row>
    <row r="247" spans="1:2" x14ac:dyDescent="0.35">
      <c r="A247" s="9" t="s">
        <v>1044</v>
      </c>
      <c r="B247">
        <v>1</v>
      </c>
    </row>
    <row r="248" spans="1:2" x14ac:dyDescent="0.35">
      <c r="A248" s="10" t="s">
        <v>1115</v>
      </c>
      <c r="B248">
        <v>1</v>
      </c>
    </row>
    <row r="249" spans="1:2" x14ac:dyDescent="0.35">
      <c r="A249" s="9" t="s">
        <v>1045</v>
      </c>
      <c r="B249">
        <v>1</v>
      </c>
    </row>
    <row r="250" spans="1:2" x14ac:dyDescent="0.35">
      <c r="A250" s="10" t="s">
        <v>1099</v>
      </c>
      <c r="B250">
        <v>1</v>
      </c>
    </row>
    <row r="251" spans="1:2" x14ac:dyDescent="0.35">
      <c r="A251" s="9" t="s">
        <v>1043</v>
      </c>
      <c r="B251">
        <v>2</v>
      </c>
    </row>
    <row r="252" spans="1:2" x14ac:dyDescent="0.35">
      <c r="A252" s="10" t="s">
        <v>1100</v>
      </c>
      <c r="B252">
        <v>2</v>
      </c>
    </row>
    <row r="253" spans="1:2" x14ac:dyDescent="0.35">
      <c r="A253" s="9" t="s">
        <v>1046</v>
      </c>
      <c r="B253">
        <v>1</v>
      </c>
    </row>
    <row r="254" spans="1:2" x14ac:dyDescent="0.35">
      <c r="A254" s="10" t="s">
        <v>1116</v>
      </c>
      <c r="B254">
        <v>1</v>
      </c>
    </row>
    <row r="255" spans="1:2" x14ac:dyDescent="0.35">
      <c r="A255" s="9" t="s">
        <v>1048</v>
      </c>
      <c r="B255">
        <v>1</v>
      </c>
    </row>
    <row r="256" spans="1:2" x14ac:dyDescent="0.35">
      <c r="A256" s="10" t="s">
        <v>1101</v>
      </c>
      <c r="B256">
        <v>1</v>
      </c>
    </row>
    <row r="257" spans="1:2" x14ac:dyDescent="0.35">
      <c r="A257" s="9" t="s">
        <v>1049</v>
      </c>
      <c r="B257">
        <v>2</v>
      </c>
    </row>
    <row r="258" spans="1:2" x14ac:dyDescent="0.35">
      <c r="A258" s="10" t="s">
        <v>1099</v>
      </c>
      <c r="B258">
        <v>2</v>
      </c>
    </row>
    <row r="259" spans="1:2" x14ac:dyDescent="0.35">
      <c r="A259" s="9" t="s">
        <v>1050</v>
      </c>
      <c r="B259">
        <v>3</v>
      </c>
    </row>
    <row r="260" spans="1:2" x14ac:dyDescent="0.35">
      <c r="A260" s="10" t="s">
        <v>1102</v>
      </c>
      <c r="B260">
        <v>3</v>
      </c>
    </row>
    <row r="261" spans="1:2" x14ac:dyDescent="0.35">
      <c r="A261" s="9" t="s">
        <v>1051</v>
      </c>
      <c r="B261">
        <v>2</v>
      </c>
    </row>
    <row r="262" spans="1:2" x14ac:dyDescent="0.35">
      <c r="A262" s="10" t="s">
        <v>1103</v>
      </c>
      <c r="B262">
        <v>2</v>
      </c>
    </row>
    <row r="263" spans="1:2" x14ac:dyDescent="0.35">
      <c r="A263" s="9" t="s">
        <v>1052</v>
      </c>
      <c r="B263">
        <v>2</v>
      </c>
    </row>
    <row r="264" spans="1:2" x14ac:dyDescent="0.35">
      <c r="A264" s="10" t="s">
        <v>1104</v>
      </c>
      <c r="B264">
        <v>2</v>
      </c>
    </row>
    <row r="265" spans="1:2" x14ac:dyDescent="0.35">
      <c r="A265" s="9" t="s">
        <v>1086</v>
      </c>
      <c r="B265">
        <v>3</v>
      </c>
    </row>
    <row r="266" spans="1:2" x14ac:dyDescent="0.35">
      <c r="A266" s="10" t="s">
        <v>1099</v>
      </c>
      <c r="B266">
        <v>3</v>
      </c>
    </row>
    <row r="267" spans="1:2" x14ac:dyDescent="0.35">
      <c r="A267" s="9" t="s">
        <v>1091</v>
      </c>
      <c r="B267">
        <v>3</v>
      </c>
    </row>
    <row r="268" spans="1:2" x14ac:dyDescent="0.35">
      <c r="A268" s="10" t="s">
        <v>1109</v>
      </c>
      <c r="B268">
        <v>3</v>
      </c>
    </row>
    <row r="269" spans="1:2" x14ac:dyDescent="0.35">
      <c r="A269" s="9" t="s">
        <v>1053</v>
      </c>
      <c r="B269">
        <v>4</v>
      </c>
    </row>
    <row r="270" spans="1:2" x14ac:dyDescent="0.35">
      <c r="A270" s="10" t="s">
        <v>1105</v>
      </c>
      <c r="B270">
        <v>4</v>
      </c>
    </row>
    <row r="271" spans="1:2" x14ac:dyDescent="0.35">
      <c r="A271" s="9" t="s">
        <v>1054</v>
      </c>
      <c r="B271">
        <v>2</v>
      </c>
    </row>
    <row r="272" spans="1:2" x14ac:dyDescent="0.35">
      <c r="A272" s="10" t="s">
        <v>1099</v>
      </c>
      <c r="B272">
        <v>2</v>
      </c>
    </row>
    <row r="273" spans="1:2" x14ac:dyDescent="0.35">
      <c r="A273" s="9" t="s">
        <v>1055</v>
      </c>
      <c r="B273">
        <v>6</v>
      </c>
    </row>
    <row r="274" spans="1:2" x14ac:dyDescent="0.35">
      <c r="A274" s="10" t="s">
        <v>1109</v>
      </c>
      <c r="B274">
        <v>5</v>
      </c>
    </row>
    <row r="275" spans="1:2" x14ac:dyDescent="0.35">
      <c r="A275" s="10" t="s">
        <v>1103</v>
      </c>
      <c r="B275">
        <v>1</v>
      </c>
    </row>
    <row r="276" spans="1:2" x14ac:dyDescent="0.35">
      <c r="A276" s="9" t="s">
        <v>1056</v>
      </c>
      <c r="B276">
        <v>2</v>
      </c>
    </row>
    <row r="277" spans="1:2" x14ac:dyDescent="0.35">
      <c r="A277" s="10" t="s">
        <v>1106</v>
      </c>
      <c r="B277">
        <v>2</v>
      </c>
    </row>
    <row r="278" spans="1:2" x14ac:dyDescent="0.35">
      <c r="A278" s="9" t="s">
        <v>1057</v>
      </c>
      <c r="B278">
        <v>3</v>
      </c>
    </row>
    <row r="279" spans="1:2" x14ac:dyDescent="0.35">
      <c r="A279" s="10" t="s">
        <v>1106</v>
      </c>
      <c r="B279">
        <v>3</v>
      </c>
    </row>
    <row r="280" spans="1:2" x14ac:dyDescent="0.35">
      <c r="A280" s="9" t="s">
        <v>1058</v>
      </c>
      <c r="B280">
        <v>1</v>
      </c>
    </row>
    <row r="281" spans="1:2" x14ac:dyDescent="0.35">
      <c r="A281" s="10" t="s">
        <v>1107</v>
      </c>
      <c r="B281">
        <v>1</v>
      </c>
    </row>
    <row r="282" spans="1:2" x14ac:dyDescent="0.35">
      <c r="A282" s="9" t="s">
        <v>1066</v>
      </c>
      <c r="B282">
        <v>31</v>
      </c>
    </row>
    <row r="283" spans="1:2" x14ac:dyDescent="0.35">
      <c r="A283" s="10" t="s">
        <v>1066</v>
      </c>
      <c r="B283">
        <v>31</v>
      </c>
    </row>
    <row r="284" spans="1:2" x14ac:dyDescent="0.35">
      <c r="A284" s="9" t="s">
        <v>1059</v>
      </c>
      <c r="B284">
        <v>1</v>
      </c>
    </row>
    <row r="285" spans="1:2" x14ac:dyDescent="0.35">
      <c r="A285" s="10" t="s">
        <v>1108</v>
      </c>
      <c r="B285">
        <v>1</v>
      </c>
    </row>
    <row r="286" spans="1:2" x14ac:dyDescent="0.35">
      <c r="A286" s="9" t="s">
        <v>1060</v>
      </c>
      <c r="B286">
        <v>9</v>
      </c>
    </row>
    <row r="287" spans="1:2" x14ac:dyDescent="0.35">
      <c r="A287" s="10" t="s">
        <v>1109</v>
      </c>
      <c r="B287">
        <v>9</v>
      </c>
    </row>
    <row r="288" spans="1:2" x14ac:dyDescent="0.35">
      <c r="A288" s="9" t="s">
        <v>1074</v>
      </c>
      <c r="B288">
        <v>6</v>
      </c>
    </row>
    <row r="289" spans="1:2" x14ac:dyDescent="0.35">
      <c r="A289" s="10" t="s">
        <v>1099</v>
      </c>
      <c r="B289">
        <v>6</v>
      </c>
    </row>
    <row r="290" spans="1:2" x14ac:dyDescent="0.35">
      <c r="A290" s="9" t="s">
        <v>1093</v>
      </c>
      <c r="B290">
        <v>3</v>
      </c>
    </row>
    <row r="291" spans="1:2" x14ac:dyDescent="0.35">
      <c r="A291" s="10" t="s">
        <v>1099</v>
      </c>
      <c r="B291">
        <v>3</v>
      </c>
    </row>
    <row r="292" spans="1:2" x14ac:dyDescent="0.35">
      <c r="A292" s="9" t="s">
        <v>1062</v>
      </c>
      <c r="B292">
        <v>40</v>
      </c>
    </row>
    <row r="293" spans="1:2" x14ac:dyDescent="0.35">
      <c r="A293" s="10" t="s">
        <v>1109</v>
      </c>
      <c r="B293">
        <v>40</v>
      </c>
    </row>
    <row r="294" spans="1:2" x14ac:dyDescent="0.35">
      <c r="A294" s="9" t="s">
        <v>1098</v>
      </c>
      <c r="B294">
        <v>1</v>
      </c>
    </row>
    <row r="295" spans="1:2" x14ac:dyDescent="0.35">
      <c r="A295" s="10" t="s">
        <v>1105</v>
      </c>
      <c r="B295">
        <v>1</v>
      </c>
    </row>
    <row r="296" spans="1:2" x14ac:dyDescent="0.35">
      <c r="A296" s="9" t="s">
        <v>1078</v>
      </c>
      <c r="B296">
        <v>2</v>
      </c>
    </row>
    <row r="297" spans="1:2" x14ac:dyDescent="0.35">
      <c r="A297" s="10" t="s">
        <v>1101</v>
      </c>
      <c r="B297">
        <v>2</v>
      </c>
    </row>
    <row r="298" spans="1:2" x14ac:dyDescent="0.35">
      <c r="A298" s="9" t="s">
        <v>1076</v>
      </c>
      <c r="B298">
        <v>1</v>
      </c>
    </row>
    <row r="299" spans="1:2" x14ac:dyDescent="0.35">
      <c r="A299" s="10" t="s">
        <v>1113</v>
      </c>
      <c r="B299">
        <v>1</v>
      </c>
    </row>
    <row r="300" spans="1:2" x14ac:dyDescent="0.35">
      <c r="A300" s="9" t="s">
        <v>1065</v>
      </c>
      <c r="B300">
        <v>2</v>
      </c>
    </row>
    <row r="301" spans="1:2" x14ac:dyDescent="0.35">
      <c r="A301" s="10" t="s">
        <v>1109</v>
      </c>
      <c r="B301">
        <v>2</v>
      </c>
    </row>
    <row r="302" spans="1:2" x14ac:dyDescent="0.35">
      <c r="A302" s="9" t="s">
        <v>1088</v>
      </c>
      <c r="B302">
        <v>3</v>
      </c>
    </row>
    <row r="303" spans="1:2" x14ac:dyDescent="0.35">
      <c r="A303" s="10" t="s">
        <v>1099</v>
      </c>
      <c r="B303">
        <v>3</v>
      </c>
    </row>
    <row r="304" spans="1:2" x14ac:dyDescent="0.35">
      <c r="A304" s="9" t="s">
        <v>1061</v>
      </c>
      <c r="B304">
        <v>5</v>
      </c>
    </row>
    <row r="305" spans="1:2" x14ac:dyDescent="0.35">
      <c r="A305" s="10" t="s">
        <v>1099</v>
      </c>
      <c r="B305">
        <v>5</v>
      </c>
    </row>
    <row r="306" spans="1:2" x14ac:dyDescent="0.35">
      <c r="A306" s="9" t="s">
        <v>1077</v>
      </c>
      <c r="B306">
        <v>2</v>
      </c>
    </row>
    <row r="307" spans="1:2" x14ac:dyDescent="0.35">
      <c r="A307" s="10" t="s">
        <v>1109</v>
      </c>
      <c r="B307">
        <v>2</v>
      </c>
    </row>
    <row r="308" spans="1:2" x14ac:dyDescent="0.35">
      <c r="A308" s="9" t="s">
        <v>1067</v>
      </c>
      <c r="B308">
        <v>2</v>
      </c>
    </row>
    <row r="309" spans="1:2" x14ac:dyDescent="0.35">
      <c r="A309" s="10" t="s">
        <v>1111</v>
      </c>
      <c r="B309">
        <v>2</v>
      </c>
    </row>
    <row r="310" spans="1:2" x14ac:dyDescent="0.35">
      <c r="A310" s="9" t="s">
        <v>1063</v>
      </c>
      <c r="B310">
        <v>7</v>
      </c>
    </row>
    <row r="311" spans="1:2" x14ac:dyDescent="0.35">
      <c r="A311" s="10" t="s">
        <v>1110</v>
      </c>
      <c r="B311">
        <v>7</v>
      </c>
    </row>
    <row r="312" spans="1:2" x14ac:dyDescent="0.35">
      <c r="A312" s="9" t="s">
        <v>1068</v>
      </c>
      <c r="B312">
        <v>1</v>
      </c>
    </row>
    <row r="313" spans="1:2" x14ac:dyDescent="0.35">
      <c r="A313" s="10" t="s">
        <v>1104</v>
      </c>
      <c r="B313">
        <v>1</v>
      </c>
    </row>
    <row r="314" spans="1:2" x14ac:dyDescent="0.35">
      <c r="A314" s="9" t="s">
        <v>1094</v>
      </c>
      <c r="B314">
        <v>1</v>
      </c>
    </row>
    <row r="315" spans="1:2" x14ac:dyDescent="0.35">
      <c r="A315" s="10" t="s">
        <v>1099</v>
      </c>
      <c r="B315">
        <v>1</v>
      </c>
    </row>
    <row r="316" spans="1:2" x14ac:dyDescent="0.35">
      <c r="A316" s="9" t="s">
        <v>1069</v>
      </c>
      <c r="B316">
        <v>1</v>
      </c>
    </row>
    <row r="317" spans="1:2" x14ac:dyDescent="0.35">
      <c r="A317" s="10" t="s">
        <v>1103</v>
      </c>
      <c r="B317">
        <v>1</v>
      </c>
    </row>
    <row r="318" spans="1:2" x14ac:dyDescent="0.35">
      <c r="A318" s="9" t="s">
        <v>1071</v>
      </c>
      <c r="B318">
        <v>2</v>
      </c>
    </row>
    <row r="319" spans="1:2" x14ac:dyDescent="0.35">
      <c r="A319" s="10" t="s">
        <v>1099</v>
      </c>
      <c r="B319">
        <v>2</v>
      </c>
    </row>
    <row r="320" spans="1:2" x14ac:dyDescent="0.35">
      <c r="A320" s="9" t="s">
        <v>1073</v>
      </c>
      <c r="B320">
        <v>4</v>
      </c>
    </row>
    <row r="321" spans="1:2" x14ac:dyDescent="0.35">
      <c r="A321" s="10" t="s">
        <v>1104</v>
      </c>
      <c r="B321">
        <v>4</v>
      </c>
    </row>
    <row r="322" spans="1:2" x14ac:dyDescent="0.35">
      <c r="A322" s="9" t="s">
        <v>1097</v>
      </c>
      <c r="B322">
        <v>1</v>
      </c>
    </row>
    <row r="323" spans="1:2" x14ac:dyDescent="0.35">
      <c r="A323" s="10" t="s">
        <v>1109</v>
      </c>
      <c r="B323">
        <v>1</v>
      </c>
    </row>
    <row r="324" spans="1:2" x14ac:dyDescent="0.35">
      <c r="A324" s="9" t="s">
        <v>1114</v>
      </c>
      <c r="B324">
        <v>1</v>
      </c>
    </row>
    <row r="325" spans="1:2" x14ac:dyDescent="0.35">
      <c r="A325" s="10" t="s">
        <v>1104</v>
      </c>
      <c r="B325">
        <v>1</v>
      </c>
    </row>
    <row r="326" spans="1:2" x14ac:dyDescent="0.35">
      <c r="A326" s="9" t="s">
        <v>1070</v>
      </c>
      <c r="B326">
        <v>8</v>
      </c>
    </row>
    <row r="327" spans="1:2" x14ac:dyDescent="0.35">
      <c r="A327" s="10" t="s">
        <v>1099</v>
      </c>
      <c r="B327">
        <v>8</v>
      </c>
    </row>
    <row r="328" spans="1:2" x14ac:dyDescent="0.35">
      <c r="A328" s="9" t="s">
        <v>1090</v>
      </c>
      <c r="B328">
        <v>2</v>
      </c>
    </row>
    <row r="329" spans="1:2" x14ac:dyDescent="0.35">
      <c r="A329" s="10" t="s">
        <v>1109</v>
      </c>
      <c r="B329">
        <v>2</v>
      </c>
    </row>
    <row r="330" spans="1:2" x14ac:dyDescent="0.35">
      <c r="A330" s="9" t="s">
        <v>1072</v>
      </c>
      <c r="B330">
        <v>1</v>
      </c>
    </row>
    <row r="331" spans="1:2" x14ac:dyDescent="0.35">
      <c r="A331" s="10" t="s">
        <v>1112</v>
      </c>
      <c r="B331">
        <v>1</v>
      </c>
    </row>
    <row r="332" spans="1:2" x14ac:dyDescent="0.35">
      <c r="A332" s="9" t="s">
        <v>1075</v>
      </c>
      <c r="B332">
        <v>3</v>
      </c>
    </row>
    <row r="333" spans="1:2" x14ac:dyDescent="0.35">
      <c r="A333" s="10" t="s">
        <v>1104</v>
      </c>
      <c r="B333">
        <v>3</v>
      </c>
    </row>
    <row r="334" spans="1:2" x14ac:dyDescent="0.35">
      <c r="A334" s="9" t="s">
        <v>1064</v>
      </c>
      <c r="B334">
        <v>5</v>
      </c>
    </row>
    <row r="335" spans="1:2" x14ac:dyDescent="0.35">
      <c r="A335" s="10" t="s">
        <v>1109</v>
      </c>
      <c r="B335">
        <v>5</v>
      </c>
    </row>
    <row r="336" spans="1:2" x14ac:dyDescent="0.35">
      <c r="A336" s="9" t="s">
        <v>1089</v>
      </c>
      <c r="B336">
        <v>2</v>
      </c>
    </row>
    <row r="337" spans="1:2" x14ac:dyDescent="0.35">
      <c r="A337" s="10" t="s">
        <v>1109</v>
      </c>
      <c r="B337">
        <v>2</v>
      </c>
    </row>
    <row r="338" spans="1:2" x14ac:dyDescent="0.35">
      <c r="A338" s="9" t="s">
        <v>1092</v>
      </c>
      <c r="B338">
        <v>2</v>
      </c>
    </row>
    <row r="339" spans="1:2" x14ac:dyDescent="0.35">
      <c r="A339" s="10" t="s">
        <v>1113</v>
      </c>
      <c r="B339">
        <v>2</v>
      </c>
    </row>
    <row r="340" spans="1:2" x14ac:dyDescent="0.35">
      <c r="A340" s="9" t="s">
        <v>1083</v>
      </c>
      <c r="B340">
        <v>4</v>
      </c>
    </row>
    <row r="341" spans="1:2" x14ac:dyDescent="0.35">
      <c r="A341" s="10" t="s">
        <v>1100</v>
      </c>
      <c r="B341">
        <v>4</v>
      </c>
    </row>
    <row r="342" spans="1:2" x14ac:dyDescent="0.35">
      <c r="A342" s="9" t="s">
        <v>1096</v>
      </c>
      <c r="B342">
        <v>1</v>
      </c>
    </row>
    <row r="343" spans="1:2" x14ac:dyDescent="0.35">
      <c r="A343" s="10" t="s">
        <v>1100</v>
      </c>
      <c r="B343">
        <v>1</v>
      </c>
    </row>
    <row r="344" spans="1:2" x14ac:dyDescent="0.35">
      <c r="A344" s="9" t="s">
        <v>1084</v>
      </c>
      <c r="B344">
        <v>2</v>
      </c>
    </row>
    <row r="345" spans="1:2" x14ac:dyDescent="0.35">
      <c r="A345" s="10" t="s">
        <v>1099</v>
      </c>
      <c r="B345">
        <v>2</v>
      </c>
    </row>
    <row r="346" spans="1:2" x14ac:dyDescent="0.35">
      <c r="A346" s="9" t="s">
        <v>1085</v>
      </c>
      <c r="B346">
        <v>1</v>
      </c>
    </row>
    <row r="347" spans="1:2" x14ac:dyDescent="0.35">
      <c r="A347" s="10" t="s">
        <v>1102</v>
      </c>
      <c r="B347">
        <v>1</v>
      </c>
    </row>
    <row r="348" spans="1:2" x14ac:dyDescent="0.35">
      <c r="A348" s="9" t="s">
        <v>1087</v>
      </c>
      <c r="B348">
        <v>4</v>
      </c>
    </row>
    <row r="349" spans="1:2" x14ac:dyDescent="0.35">
      <c r="A349" s="10" t="s">
        <v>1102</v>
      </c>
      <c r="B349">
        <v>3</v>
      </c>
    </row>
    <row r="350" spans="1:2" x14ac:dyDescent="0.35">
      <c r="A350" s="10" t="s">
        <v>1104</v>
      </c>
      <c r="B350">
        <v>1</v>
      </c>
    </row>
    <row r="351" spans="1:2" x14ac:dyDescent="0.35">
      <c r="A351" s="9" t="s">
        <v>1121</v>
      </c>
      <c r="B351">
        <v>200</v>
      </c>
    </row>
  </sheetData>
  <pageMargins left="0.7" right="0.7" top="0.75" bottom="0.75" header="0.3" footer="0.3"/>
  <drawing r:id="rId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BA724-1797-4659-A541-7264E18F06FB}">
  <dimension ref="A1"/>
  <sheetViews>
    <sheetView showGridLines="0" zoomScale="60" zoomScaleNormal="60" workbookViewId="0">
      <selection activeCell="E26" sqref="E26"/>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Orders</vt:lpstr>
      <vt:lpstr>Customers</vt:lpstr>
      <vt:lpstr>monetary analysis </vt:lpstr>
      <vt:lpstr>methods of payment</vt:lpstr>
      <vt:lpstr>operational analysis of firm</vt:lpstr>
      <vt:lpstr>analysis of net sales</vt:lpstr>
      <vt:lpstr>Type of orders</vt:lpstr>
      <vt:lpstr>Orders analysis</vt:lpstr>
      <vt:lpstr>Logistical Analysis of orders</vt:lpstr>
      <vt:lpstr>Share of each type of customer</vt:lpstr>
      <vt:lpstr>Number of orders per state</vt:lpstr>
      <vt:lpstr>Share of each age group</vt:lpstr>
      <vt:lpstr>Share of each type of Product</vt:lpstr>
      <vt:lpstr>Dashboard for ecommerce firm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2026-07-26T09:44:04Z</dcterms:created>
  <dcterms:modified xsi:type="dcterms:W3CDTF">2026-08-16T11:18:24Z</dcterms:modified>
</cp:coreProperties>
</file>